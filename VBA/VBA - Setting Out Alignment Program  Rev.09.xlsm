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BEN\Downloads\"/>
    </mc:Choice>
  </mc:AlternateContent>
  <xr:revisionPtr revIDLastSave="0" documentId="13_ncr:1_{CB068B2B-C7C7-43BF-9B57-F465B23B8DC6}" xr6:coauthVersionLast="47" xr6:coauthVersionMax="47" xr10:uidLastSave="{00000000-0000-0000-0000-000000000000}"/>
  <bookViews>
    <workbookView xWindow="-108" yWindow="-108" windowWidth="23256" windowHeight="12456" tabRatio="702" xr2:uid="{72829903-6005-4073-A34C-88E7319A00A0}"/>
  </bookViews>
  <sheets>
    <sheet name="HIP DATA" sheetId="1" r:id="rId1"/>
    <sheet name="VIP DATA" sheetId="37" r:id="rId2"/>
    <sheet name="HOR-SETTING OUT" sheetId="143" r:id="rId3"/>
    <sheet name="HOR-ARRAY" sheetId="144" r:id="rId4"/>
    <sheet name="VER-SETTING OUT" sheetId="147" r:id="rId5"/>
    <sheet name="VER-ARRAY" sheetId="14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7" i="143" l="1"/>
  <c r="Y77" i="143"/>
  <c r="Z77" i="143"/>
  <c r="X78" i="143"/>
  <c r="Y78" i="143"/>
  <c r="Z78" i="143"/>
  <c r="X79" i="143"/>
  <c r="Y79" i="143"/>
  <c r="Z79" i="143"/>
  <c r="X80" i="143"/>
  <c r="Y80" i="143"/>
  <c r="Z80" i="143"/>
  <c r="X81" i="143"/>
  <c r="Y81" i="143"/>
  <c r="Z81" i="143"/>
  <c r="X8" i="143"/>
  <c r="Y8" i="143"/>
  <c r="Z8" i="143"/>
  <c r="X9" i="143"/>
  <c r="Y9" i="143"/>
  <c r="Z9" i="143"/>
  <c r="X10" i="143"/>
  <c r="Y10" i="143"/>
  <c r="Z10" i="143"/>
  <c r="X11" i="143"/>
  <c r="Y11" i="143"/>
  <c r="Z11" i="143"/>
  <c r="X12" i="143"/>
  <c r="Y12" i="143"/>
  <c r="Z12" i="143"/>
  <c r="X13" i="143"/>
  <c r="Y13" i="143"/>
  <c r="Z13" i="143"/>
  <c r="X14" i="143"/>
  <c r="Y14" i="143"/>
  <c r="Z14" i="143"/>
  <c r="X15" i="143"/>
  <c r="Y15" i="143"/>
  <c r="Z15" i="143"/>
  <c r="X16" i="143"/>
  <c r="Y16" i="143"/>
  <c r="Z16" i="143"/>
  <c r="X17" i="143"/>
  <c r="Y17" i="143"/>
  <c r="Z17" i="143"/>
  <c r="X18" i="143"/>
  <c r="Y18" i="143"/>
  <c r="Z18" i="143"/>
  <c r="X19" i="143"/>
  <c r="Y19" i="143"/>
  <c r="Z19" i="143"/>
  <c r="X20" i="143"/>
  <c r="Y20" i="143"/>
  <c r="Z20" i="143"/>
  <c r="X21" i="143"/>
  <c r="Y21" i="143"/>
  <c r="Z21" i="143"/>
  <c r="X22" i="143"/>
  <c r="Y22" i="143"/>
  <c r="Z22" i="143"/>
  <c r="X23" i="143"/>
  <c r="Y23" i="143"/>
  <c r="Z23" i="143"/>
  <c r="X24" i="143"/>
  <c r="Y24" i="143"/>
  <c r="Z24" i="143"/>
  <c r="X25" i="143"/>
  <c r="Y25" i="143"/>
  <c r="Z25" i="143"/>
  <c r="X26" i="143"/>
  <c r="Y26" i="143"/>
  <c r="Z26" i="143"/>
  <c r="X27" i="143"/>
  <c r="Y27" i="143"/>
  <c r="Z27" i="143"/>
  <c r="X28" i="143"/>
  <c r="Y28" i="143"/>
  <c r="Z28" i="143"/>
  <c r="X29" i="143"/>
  <c r="Y29" i="143"/>
  <c r="Z29" i="143"/>
  <c r="X30" i="143"/>
  <c r="Y30" i="143"/>
  <c r="Z30" i="143"/>
  <c r="X31" i="143"/>
  <c r="Y31" i="143"/>
  <c r="Z31" i="143"/>
  <c r="X32" i="143"/>
  <c r="Y32" i="143"/>
  <c r="Z32" i="143"/>
  <c r="X33" i="143"/>
  <c r="Y33" i="143"/>
  <c r="Z33" i="143"/>
  <c r="X34" i="143"/>
  <c r="Y34" i="143"/>
  <c r="Z34" i="143"/>
  <c r="X35" i="143"/>
  <c r="Y35" i="143"/>
  <c r="Z35" i="143"/>
  <c r="X36" i="143"/>
  <c r="Y36" i="143"/>
  <c r="Z36" i="143"/>
  <c r="X37" i="143"/>
  <c r="Y37" i="143"/>
  <c r="Z37" i="143"/>
  <c r="X38" i="143"/>
  <c r="Y38" i="143"/>
  <c r="Z38" i="143"/>
  <c r="X39" i="143"/>
  <c r="Y39" i="143"/>
  <c r="Z39" i="143"/>
  <c r="X40" i="143"/>
  <c r="Y40" i="143"/>
  <c r="Z40" i="143"/>
  <c r="X41" i="143"/>
  <c r="Y41" i="143"/>
  <c r="Z41" i="143"/>
  <c r="X42" i="143"/>
  <c r="Y42" i="143"/>
  <c r="Z42" i="143"/>
  <c r="X43" i="143"/>
  <c r="Y43" i="143"/>
  <c r="Z43" i="143"/>
  <c r="X44" i="143"/>
  <c r="Y44" i="143"/>
  <c r="Z44" i="143"/>
  <c r="X45" i="143"/>
  <c r="Y45" i="143"/>
  <c r="Z45" i="143"/>
  <c r="X46" i="143"/>
  <c r="Y46" i="143"/>
  <c r="Z46" i="143"/>
  <c r="X47" i="143"/>
  <c r="Y47" i="143"/>
  <c r="Z47" i="143"/>
  <c r="X48" i="143"/>
  <c r="Y48" i="143"/>
  <c r="Z48" i="143"/>
  <c r="X49" i="143"/>
  <c r="Y49" i="143"/>
  <c r="Z49" i="143"/>
  <c r="X50" i="143"/>
  <c r="Y50" i="143"/>
  <c r="Z50" i="143"/>
  <c r="X51" i="143"/>
  <c r="Y51" i="143"/>
  <c r="Z51" i="143"/>
  <c r="X52" i="143"/>
  <c r="Y52" i="143"/>
  <c r="Z52" i="143"/>
  <c r="X53" i="143"/>
  <c r="Y53" i="143"/>
  <c r="Z53" i="143"/>
  <c r="X54" i="143"/>
  <c r="Y54" i="143"/>
  <c r="Z54" i="143"/>
  <c r="X55" i="143"/>
  <c r="Y55" i="143"/>
  <c r="Z55" i="143"/>
  <c r="X56" i="143"/>
  <c r="Y56" i="143"/>
  <c r="Z56" i="143"/>
  <c r="X57" i="143"/>
  <c r="Y57" i="143"/>
  <c r="Z57" i="143"/>
  <c r="X58" i="143"/>
  <c r="Y58" i="143"/>
  <c r="Z58" i="143"/>
  <c r="X59" i="143"/>
  <c r="Y59" i="143"/>
  <c r="Z59" i="143"/>
  <c r="X60" i="143"/>
  <c r="Y60" i="143"/>
  <c r="Z60" i="143"/>
  <c r="X61" i="143"/>
  <c r="Y61" i="143"/>
  <c r="Z61" i="143"/>
  <c r="X62" i="143"/>
  <c r="Y62" i="143"/>
  <c r="Z62" i="143"/>
  <c r="X63" i="143"/>
  <c r="Y63" i="143"/>
  <c r="Z63" i="143"/>
  <c r="X64" i="143"/>
  <c r="Y64" i="143"/>
  <c r="Z64" i="143"/>
  <c r="X65" i="143"/>
  <c r="Y65" i="143"/>
  <c r="Z65" i="143"/>
  <c r="X66" i="143"/>
  <c r="Y66" i="143"/>
  <c r="Z66" i="143"/>
  <c r="X67" i="143"/>
  <c r="Y67" i="143"/>
  <c r="Z67" i="143"/>
  <c r="X68" i="143"/>
  <c r="Y68" i="143"/>
  <c r="Z68" i="143"/>
  <c r="X69" i="143"/>
  <c r="Y69" i="143"/>
  <c r="Z69" i="143"/>
  <c r="X70" i="143"/>
  <c r="Y70" i="143"/>
  <c r="Z70" i="143"/>
  <c r="X71" i="143"/>
  <c r="Y71" i="143"/>
  <c r="Z71" i="143"/>
  <c r="X72" i="143"/>
  <c r="Y72" i="143"/>
  <c r="Z72" i="143"/>
  <c r="X73" i="143"/>
  <c r="Y73" i="143"/>
  <c r="Z73" i="143"/>
  <c r="X74" i="143"/>
  <c r="Y74" i="143"/>
  <c r="Z74" i="143"/>
  <c r="X75" i="143"/>
  <c r="Y75" i="143"/>
  <c r="Z75" i="143"/>
  <c r="X76" i="143"/>
  <c r="Y76" i="143"/>
  <c r="Z76" i="143"/>
  <c r="Y7" i="143"/>
  <c r="Z7" i="143"/>
  <c r="X7" i="143"/>
  <c r="F26" i="148"/>
  <c r="D26" i="148"/>
  <c r="F25" i="148"/>
  <c r="D25" i="148"/>
  <c r="D24" i="148" s="1"/>
  <c r="D23" i="148" s="1"/>
  <c r="D22" i="148" s="1"/>
  <c r="D21" i="148" s="1"/>
  <c r="D20" i="148" s="1"/>
  <c r="D19" i="148" s="1"/>
  <c r="D18" i="148" s="1"/>
  <c r="D17" i="148" s="1"/>
  <c r="D16" i="148" s="1"/>
  <c r="D15" i="148" s="1"/>
  <c r="D14" i="148" s="1"/>
  <c r="D13" i="148" s="1"/>
  <c r="D12" i="148" s="1"/>
  <c r="D11" i="148" s="1"/>
  <c r="D10" i="148" s="1"/>
  <c r="D9" i="148" s="1"/>
  <c r="D8" i="148" s="1"/>
  <c r="D7" i="148" s="1"/>
  <c r="D6" i="148" s="1"/>
  <c r="D5" i="148" s="1"/>
  <c r="F24" i="148"/>
  <c r="F23" i="148"/>
  <c r="F22" i="148"/>
  <c r="F21" i="148"/>
  <c r="F20" i="148"/>
  <c r="F19" i="148"/>
  <c r="F18" i="148"/>
  <c r="F17" i="148"/>
  <c r="F16" i="148"/>
  <c r="F15" i="148"/>
  <c r="F14" i="148"/>
  <c r="F13" i="148"/>
  <c r="F12" i="148"/>
  <c r="F11" i="148"/>
  <c r="F10" i="148"/>
  <c r="F9" i="148"/>
  <c r="F8" i="148"/>
  <c r="F7" i="148"/>
  <c r="F6" i="148"/>
  <c r="F5" i="148"/>
  <c r="F64" i="144"/>
  <c r="D64" i="144"/>
  <c r="D63" i="144" s="1"/>
  <c r="D62" i="144" s="1"/>
  <c r="D61" i="144" s="1"/>
  <c r="D60" i="144" s="1"/>
  <c r="D59" i="144" s="1"/>
  <c r="D58" i="144" s="1"/>
  <c r="D57" i="144" s="1"/>
  <c r="D56" i="144" s="1"/>
  <c r="D55" i="144" s="1"/>
  <c r="D54" i="144" s="1"/>
  <c r="D53" i="144" s="1"/>
  <c r="D52" i="144" s="1"/>
  <c r="D51" i="144" s="1"/>
  <c r="D50" i="144" s="1"/>
  <c r="D49" i="144" s="1"/>
  <c r="D48" i="144" s="1"/>
  <c r="D47" i="144" s="1"/>
  <c r="D46" i="144" s="1"/>
  <c r="D45" i="144" s="1"/>
  <c r="D44" i="144" s="1"/>
  <c r="D43" i="144" s="1"/>
  <c r="D42" i="144" s="1"/>
  <c r="D41" i="144" s="1"/>
  <c r="D40" i="144" s="1"/>
  <c r="D39" i="144" s="1"/>
  <c r="D38" i="144" s="1"/>
  <c r="D37" i="144" s="1"/>
  <c r="D36" i="144" s="1"/>
  <c r="D35" i="144" s="1"/>
  <c r="D34" i="144" s="1"/>
  <c r="D33" i="144" s="1"/>
  <c r="D32" i="144" s="1"/>
  <c r="D31" i="144" s="1"/>
  <c r="D30" i="144" s="1"/>
  <c r="D29" i="144" s="1"/>
  <c r="D28" i="144" s="1"/>
  <c r="D27" i="144" s="1"/>
  <c r="D26" i="144" s="1"/>
  <c r="D25" i="144" s="1"/>
  <c r="D24" i="144" s="1"/>
  <c r="D23" i="144" s="1"/>
  <c r="D22" i="144" s="1"/>
  <c r="D21" i="144" s="1"/>
  <c r="D20" i="144" s="1"/>
  <c r="D19" i="144" s="1"/>
  <c r="D18" i="144" s="1"/>
  <c r="D17" i="144" s="1"/>
  <c r="D16" i="144" s="1"/>
  <c r="D15" i="144" s="1"/>
  <c r="D14" i="144" s="1"/>
  <c r="D13" i="144" s="1"/>
  <c r="D12" i="144" s="1"/>
  <c r="D11" i="144" s="1"/>
  <c r="D10" i="144" s="1"/>
  <c r="D9" i="144" s="1"/>
  <c r="D8" i="144" s="1"/>
  <c r="D7" i="144" s="1"/>
  <c r="D6" i="144" s="1"/>
  <c r="D5" i="144" s="1"/>
  <c r="F63" i="144"/>
  <c r="F62" i="144"/>
  <c r="F61" i="144"/>
  <c r="F60" i="144"/>
  <c r="F59" i="144"/>
  <c r="F58" i="144"/>
  <c r="F57" i="144"/>
  <c r="F56" i="144"/>
  <c r="F55" i="144"/>
  <c r="F54" i="144"/>
  <c r="F53" i="144"/>
  <c r="F52" i="144"/>
  <c r="F51" i="144"/>
  <c r="F50" i="144"/>
  <c r="F49" i="144"/>
  <c r="F48" i="144"/>
  <c r="F47" i="144"/>
  <c r="F46" i="144"/>
  <c r="F45" i="144"/>
  <c r="F44" i="144"/>
  <c r="F43" i="144"/>
  <c r="F42" i="144"/>
  <c r="F41" i="144"/>
  <c r="F40" i="144"/>
  <c r="F39" i="144"/>
  <c r="F38" i="144"/>
  <c r="F37" i="144"/>
  <c r="F36" i="144"/>
  <c r="F35" i="144"/>
  <c r="F34" i="144"/>
  <c r="F33" i="144"/>
  <c r="F32" i="144"/>
  <c r="F31" i="144"/>
  <c r="F30" i="144"/>
  <c r="F29" i="144"/>
  <c r="F28" i="144"/>
  <c r="F27" i="144"/>
  <c r="F26" i="144"/>
  <c r="F25" i="144"/>
  <c r="F24" i="144"/>
  <c r="F23" i="144"/>
  <c r="F22" i="144"/>
  <c r="F21" i="144"/>
  <c r="F20" i="144"/>
  <c r="F19" i="144"/>
  <c r="F18" i="144"/>
  <c r="F17" i="144"/>
  <c r="F16" i="144"/>
  <c r="F15" i="144"/>
  <c r="F14" i="144"/>
  <c r="F13" i="144"/>
  <c r="F12" i="144"/>
  <c r="F11" i="144"/>
  <c r="F10" i="144"/>
  <c r="F9" i="144"/>
  <c r="F8" i="144"/>
  <c r="F7" i="144"/>
  <c r="F6" i="144"/>
  <c r="F5" i="144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D3" authorId="0" shapeId="0" xr:uid="{09387667-897A-49AD-BBA6-5B5F9EB306A7}">
      <text>
        <r>
          <rPr>
            <sz val="8"/>
            <color indexed="81"/>
            <rFont val="Arial"/>
            <family val="2"/>
          </rPr>
          <t>Radius of Circular Curve.</t>
        </r>
      </text>
    </comment>
    <comment ref="E3" authorId="0" shapeId="0" xr:uid="{1613B586-AD0A-4DED-966A-7AB32FF18EEC}">
      <text>
        <r>
          <rPr>
            <b/>
            <i/>
            <sz val="8"/>
            <color indexed="81"/>
            <rFont val="Arial"/>
            <family val="2"/>
          </rPr>
          <t>Ls1</t>
        </r>
        <r>
          <rPr>
            <sz val="8"/>
            <color indexed="81"/>
            <rFont val="Arial"/>
            <family val="2"/>
          </rPr>
          <t xml:space="preserve"> : Length of Spiral Curve (In).</t>
        </r>
      </text>
    </comment>
    <comment ref="F3" authorId="0" shapeId="0" xr:uid="{4919FACB-3707-4F40-928C-ACDCF5E5BD82}">
      <text>
        <r>
          <rPr>
            <b/>
            <i/>
            <sz val="8"/>
            <color indexed="81"/>
            <rFont val="Arial"/>
            <family val="2"/>
          </rPr>
          <t>Ls2</t>
        </r>
        <r>
          <rPr>
            <sz val="8"/>
            <color indexed="81"/>
            <rFont val="Arial"/>
            <family val="2"/>
          </rPr>
          <t xml:space="preserve"> : Length of Spiral Curve (Out).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SUBEN</author>
  </authors>
  <commentList>
    <comment ref="D3" authorId="0" shapeId="0" xr:uid="{0057F1E4-CF9F-4C22-A5F1-539ECBC9182E}">
      <text>
        <r>
          <rPr>
            <b/>
            <i/>
            <sz val="8"/>
            <color indexed="81"/>
            <rFont val="Arial"/>
            <family val="2"/>
          </rPr>
          <t>LVC</t>
        </r>
        <r>
          <rPr>
            <sz val="8"/>
            <color indexed="81"/>
            <rFont val="Arial"/>
            <family val="2"/>
          </rPr>
          <t xml:space="preserve"> : Length of Vertical Curve for Symmetry Curve.</t>
        </r>
      </text>
    </comment>
    <comment ref="E3" authorId="0" shapeId="0" xr:uid="{2C95C615-6B82-48C5-AAB3-B2ADFB721CBE}">
      <text>
        <r>
          <rPr>
            <b/>
            <i/>
            <sz val="8"/>
            <color indexed="81"/>
            <rFont val="Arial"/>
            <family val="2"/>
          </rPr>
          <t>LVC 1</t>
        </r>
        <r>
          <rPr>
            <sz val="8"/>
            <color indexed="81"/>
            <rFont val="Arial"/>
            <family val="2"/>
          </rPr>
          <t xml:space="preserve"> : Length of Vertical Curve (1) for Unsymmetry Curve.</t>
        </r>
      </text>
    </comment>
    <comment ref="F3" authorId="0" shapeId="0" xr:uid="{BC4D5279-A012-4F66-8C56-46C92A92A3EB}">
      <text>
        <r>
          <rPr>
            <b/>
            <i/>
            <sz val="8"/>
            <color indexed="81"/>
            <rFont val="Arial"/>
            <family val="2"/>
          </rPr>
          <t>LVC 2</t>
        </r>
        <r>
          <rPr>
            <sz val="8"/>
            <color indexed="81"/>
            <rFont val="Arial"/>
            <family val="2"/>
          </rPr>
          <t xml:space="preserve"> : Length of Vertical Curve (2) for Unsymmetry Curve.</t>
        </r>
      </text>
    </comment>
  </commentList>
</comments>
</file>

<file path=xl/sharedStrings.xml><?xml version="1.0" encoding="utf-8"?>
<sst xmlns="http://schemas.openxmlformats.org/spreadsheetml/2006/main" count="758" uniqueCount="328">
  <si>
    <t>ALIGNMENT NAME</t>
  </si>
  <si>
    <t>PI-9</t>
  </si>
  <si>
    <t>PI-10</t>
  </si>
  <si>
    <t>BEGINNING OF CH.</t>
  </si>
  <si>
    <t>EASTING (M.)</t>
  </si>
  <si>
    <t>RADIUS (M.)</t>
  </si>
  <si>
    <t>Ls1 (M.)</t>
  </si>
  <si>
    <t>Ls2 (M.)</t>
  </si>
  <si>
    <t>HIP NO. / NAME</t>
  </si>
  <si>
    <t>PI-1</t>
  </si>
  <si>
    <t>PI-2</t>
  </si>
  <si>
    <t>PI-3</t>
  </si>
  <si>
    <t>PI-4</t>
  </si>
  <si>
    <t>PI-5</t>
  </si>
  <si>
    <t>PI-6</t>
  </si>
  <si>
    <t>PI-7</t>
  </si>
  <si>
    <t>PI-8</t>
  </si>
  <si>
    <t>PI-11</t>
  </si>
  <si>
    <t>PI-12</t>
  </si>
  <si>
    <t>PI-13</t>
  </si>
  <si>
    <t>PI-14</t>
  </si>
  <si>
    <t>PI-15</t>
  </si>
  <si>
    <t>VIP NO. / NAME</t>
  </si>
  <si>
    <t>CHAINAGE (M.)</t>
  </si>
  <si>
    <t>LVC (M.)</t>
  </si>
  <si>
    <t>NORTHING (M.)</t>
  </si>
  <si>
    <t>ELEVATION (M.)</t>
  </si>
  <si>
    <t>BOP</t>
  </si>
  <si>
    <t>TS</t>
  </si>
  <si>
    <t>SC</t>
  </si>
  <si>
    <t>CS</t>
  </si>
  <si>
    <t>ST</t>
  </si>
  <si>
    <t>PC</t>
  </si>
  <si>
    <t>EOP</t>
  </si>
  <si>
    <t>HOR-SO-NB_A02</t>
  </si>
  <si>
    <t>NORTH BOUND</t>
  </si>
  <si>
    <t>VER-SO-NB_A02</t>
  </si>
  <si>
    <t>MAIN POINT</t>
  </si>
  <si>
    <t>PT</t>
  </si>
  <si>
    <t>LVC 1 (M.)</t>
  </si>
  <si>
    <t>LVC 2 (M.)</t>
  </si>
  <si>
    <t>ALIGNMENT NAME :</t>
  </si>
  <si>
    <t>SETTING OUT DATA - HORIZONTAL ALIGNMENT</t>
  </si>
  <si>
    <t>HORIZONTAL MAIN POINTS</t>
  </si>
  <si>
    <t>HORIZONTAL ELEMENTS</t>
  </si>
  <si>
    <t>HIP NO.</t>
  </si>
  <si>
    <t>POINT</t>
  </si>
  <si>
    <t>CHAINAGE</t>
  </si>
  <si>
    <t>EASTING</t>
  </si>
  <si>
    <t>NORTHING</t>
  </si>
  <si>
    <t>AZIMUTH</t>
  </si>
  <si>
    <t>AZIMUTH TANGENT</t>
  </si>
  <si>
    <t>DEFLECTION ANGLE</t>
  </si>
  <si>
    <t>CURVE DATA</t>
  </si>
  <si>
    <t>REMARKS</t>
  </si>
  <si>
    <t>(M.)</t>
  </si>
  <si>
    <t>D° M' S.SS"</t>
  </si>
  <si>
    <t>(DEG.)</t>
  </si>
  <si>
    <t>LT/RT</t>
  </si>
  <si>
    <t>Ls IN (M.)</t>
  </si>
  <si>
    <t>Lc (M.)</t>
  </si>
  <si>
    <t>Ls OUT (M.)</t>
  </si>
  <si>
    <t>HORIZONTAL ALIGNMENT DATA</t>
  </si>
  <si>
    <t>LOOP NO.</t>
  </si>
  <si>
    <t>CH.START (M.)</t>
  </si>
  <si>
    <t>CH.END (M.)</t>
  </si>
  <si>
    <t>E.START (M.)</t>
  </si>
  <si>
    <t>N.START (M.)</t>
  </si>
  <si>
    <t>AZIMUTH (DEG.)</t>
  </si>
  <si>
    <t>CURVE TYPE</t>
  </si>
  <si>
    <t>REMARK</t>
  </si>
  <si>
    <t>T = Straight Line</t>
  </si>
  <si>
    <t>SPIN = Spiral Curve In</t>
  </si>
  <si>
    <t>C = Circular Curve</t>
  </si>
  <si>
    <t>SPOT = Spiral Curve Out</t>
  </si>
  <si>
    <t xml:space="preserve"> 150° 55' 34.65"</t>
  </si>
  <si>
    <t>i=0,j=0</t>
  </si>
  <si>
    <t>T</t>
  </si>
  <si>
    <t>i=0,k=0</t>
  </si>
  <si>
    <t>1,1</t>
  </si>
  <si>
    <t xml:space="preserve"> 155° 13' 24.51"</t>
  </si>
  <si>
    <t>1,2</t>
  </si>
  <si>
    <t>PI</t>
  </si>
  <si>
    <t xml:space="preserve"> 43° 26' 29.74" RT</t>
  </si>
  <si>
    <t>RT</t>
  </si>
  <si>
    <t>1,3</t>
  </si>
  <si>
    <t xml:space="preserve"> 190° 4' 14.53"</t>
  </si>
  <si>
    <t>1,4</t>
  </si>
  <si>
    <t xml:space="preserve"> 194° 22' 4.39"</t>
  </si>
  <si>
    <t>1,5</t>
  </si>
  <si>
    <t>SPIN</t>
  </si>
  <si>
    <t>C</t>
  </si>
  <si>
    <t>SPOT</t>
  </si>
  <si>
    <t>2,6</t>
  </si>
  <si>
    <t xml:space="preserve"> 194° 2' 32.43"</t>
  </si>
  <si>
    <t>2,7</t>
  </si>
  <si>
    <t xml:space="preserve"> 1° 19' 16.44" LT</t>
  </si>
  <si>
    <t>LT</t>
  </si>
  <si>
    <t>2,8</t>
  </si>
  <si>
    <t xml:space="preserve"> 193° 22' 19.91"</t>
  </si>
  <si>
    <t>2,9</t>
  </si>
  <si>
    <t xml:space="preserve"> 193° 2' 47.95"</t>
  </si>
  <si>
    <t>2,10</t>
  </si>
  <si>
    <t>2,5</t>
  </si>
  <si>
    <t>3,11</t>
  </si>
  <si>
    <t xml:space="preserve"> 193° 21' 28.95"</t>
  </si>
  <si>
    <t>3,12</t>
  </si>
  <si>
    <t xml:space="preserve"> 1° 29' 30.71" RT</t>
  </si>
  <si>
    <t>3,13</t>
  </si>
  <si>
    <t xml:space="preserve"> 194° 13' 37.65"</t>
  </si>
  <si>
    <t>3,14</t>
  </si>
  <si>
    <t xml:space="preserve"> 194° 32' 18.66"</t>
  </si>
  <si>
    <t>3,15</t>
  </si>
  <si>
    <t>3,9</t>
  </si>
  <si>
    <t>3,10</t>
  </si>
  <si>
    <t>4,16</t>
  </si>
  <si>
    <t xml:space="preserve"> 194° 14' 24.36"</t>
  </si>
  <si>
    <t>4,17</t>
  </si>
  <si>
    <t xml:space="preserve"> 1° 43' 27.4" LT</t>
  </si>
  <si>
    <t>4,18</t>
  </si>
  <si>
    <t xml:space="preserve"> 193° 6' 45.55"</t>
  </si>
  <si>
    <t>4,19</t>
  </si>
  <si>
    <t xml:space="preserve"> 192° 48' 51.26"</t>
  </si>
  <si>
    <t>4,20</t>
  </si>
  <si>
    <t>4,13</t>
  </si>
  <si>
    <t>4,14</t>
  </si>
  <si>
    <t>4,15</t>
  </si>
  <si>
    <t>5,21</t>
  </si>
  <si>
    <t xml:space="preserve"> 195° 12' 45.6"</t>
  </si>
  <si>
    <t>5,22</t>
  </si>
  <si>
    <t xml:space="preserve"> 10° 31' 22.38" RT</t>
  </si>
  <si>
    <t>5,23</t>
  </si>
  <si>
    <t xml:space="preserve"> 200° 56' 19.3"</t>
  </si>
  <si>
    <t>5,24</t>
  </si>
  <si>
    <t xml:space="preserve"> 203° 20' 13.64"</t>
  </si>
  <si>
    <t>5,25</t>
  </si>
  <si>
    <t>5,17</t>
  </si>
  <si>
    <t>5,18</t>
  </si>
  <si>
    <t>5,19</t>
  </si>
  <si>
    <t>5,20</t>
  </si>
  <si>
    <t>6,26</t>
  </si>
  <si>
    <t>6,27</t>
  </si>
  <si>
    <t xml:space="preserve"> 9° 41' 25.74" LT</t>
  </si>
  <si>
    <t>6,28</t>
  </si>
  <si>
    <t xml:space="preserve"> 196° 2' 42.24"</t>
  </si>
  <si>
    <t>6,29</t>
  </si>
  <si>
    <t xml:space="preserve"> 193° 38' 47.9"</t>
  </si>
  <si>
    <t>6,30</t>
  </si>
  <si>
    <t>6,21</t>
  </si>
  <si>
    <t>6,22</t>
  </si>
  <si>
    <t>6,23</t>
  </si>
  <si>
    <t>6,24</t>
  </si>
  <si>
    <t>7,31</t>
  </si>
  <si>
    <t xml:space="preserve"> 2° 58' 29.69" LT</t>
  </si>
  <si>
    <t>7,32</t>
  </si>
  <si>
    <t xml:space="preserve"> 190° 40' 18.2"</t>
  </si>
  <si>
    <t>7,33</t>
  </si>
  <si>
    <t>7,25</t>
  </si>
  <si>
    <t>7,26</t>
  </si>
  <si>
    <t>8,34</t>
  </si>
  <si>
    <t xml:space="preserve"> 191° 35' 45.05"</t>
  </si>
  <si>
    <t>8,35</t>
  </si>
  <si>
    <t xml:space="preserve"> 4° 16' 9.7" RT</t>
  </si>
  <si>
    <t>8,36</t>
  </si>
  <si>
    <t xml:space="preserve"> 194° 1' 1.05"</t>
  </si>
  <si>
    <t>8,37</t>
  </si>
  <si>
    <t xml:space="preserve"> 194° 56' 27.9"</t>
  </si>
  <si>
    <t>8,38</t>
  </si>
  <si>
    <t>8,27</t>
  </si>
  <si>
    <t>8,28</t>
  </si>
  <si>
    <t>8,29</t>
  </si>
  <si>
    <t>8,30</t>
  </si>
  <si>
    <t>9,39</t>
  </si>
  <si>
    <t xml:space="preserve"> 200° 47' 15.33"</t>
  </si>
  <si>
    <t>9,40</t>
  </si>
  <si>
    <t xml:space="preserve"> 17° 58' 4.75" RT</t>
  </si>
  <si>
    <t>9,41</t>
  </si>
  <si>
    <t xml:space="preserve"> 207° 3' 45.22"</t>
  </si>
  <si>
    <t>9,42</t>
  </si>
  <si>
    <t xml:space="preserve"> 212° 54' 32.65"</t>
  </si>
  <si>
    <t>9,43</t>
  </si>
  <si>
    <t>9,31</t>
  </si>
  <si>
    <t>9,32</t>
  </si>
  <si>
    <t>9,33</t>
  </si>
  <si>
    <t>9,34</t>
  </si>
  <si>
    <t>10,44</t>
  </si>
  <si>
    <t xml:space="preserve"> 208° 48' 59.45"</t>
  </si>
  <si>
    <t>10,45</t>
  </si>
  <si>
    <t xml:space="preserve"> 20° 10' 17.34" LT</t>
  </si>
  <si>
    <t>10,46</t>
  </si>
  <si>
    <t xml:space="preserve"> 196° 49' 48.51"</t>
  </si>
  <si>
    <t>10,47</t>
  </si>
  <si>
    <t xml:space="preserve"> 192° 44' 15.31"</t>
  </si>
  <si>
    <t>10,48</t>
  </si>
  <si>
    <t>10,35</t>
  </si>
  <si>
    <t>10,36</t>
  </si>
  <si>
    <t>10,37</t>
  </si>
  <si>
    <t>10,38</t>
  </si>
  <si>
    <t>11,49</t>
  </si>
  <si>
    <t>11,50</t>
  </si>
  <si>
    <t xml:space="preserve"> 35° 33' 31.51" RT</t>
  </si>
  <si>
    <t>11,51</t>
  </si>
  <si>
    <t xml:space="preserve"> 224° 12' 13.62"</t>
  </si>
  <si>
    <t>11,52</t>
  </si>
  <si>
    <t xml:space="preserve"> 228° 17' 46.82"</t>
  </si>
  <si>
    <t>11,53</t>
  </si>
  <si>
    <t>11,39</t>
  </si>
  <si>
    <t>11,40</t>
  </si>
  <si>
    <t>11,41</t>
  </si>
  <si>
    <t>11,42</t>
  </si>
  <si>
    <t>12,54</t>
  </si>
  <si>
    <t xml:space="preserve"> 225° 6' 47.67"</t>
  </si>
  <si>
    <t>12,55</t>
  </si>
  <si>
    <t xml:space="preserve"> 15° 14' 43.98" LT</t>
  </si>
  <si>
    <t>12,56</t>
  </si>
  <si>
    <t xml:space="preserve"> 216° 14' 2"</t>
  </si>
  <si>
    <t>12,57</t>
  </si>
  <si>
    <t xml:space="preserve"> 213° 3' 2.84"</t>
  </si>
  <si>
    <t>12,58</t>
  </si>
  <si>
    <t>12,43</t>
  </si>
  <si>
    <t>12,44</t>
  </si>
  <si>
    <t>12,45</t>
  </si>
  <si>
    <t>12,46</t>
  </si>
  <si>
    <t>13,59</t>
  </si>
  <si>
    <t xml:space="preserve"> 214° 4' 26.14"</t>
  </si>
  <si>
    <t>13,60</t>
  </si>
  <si>
    <t xml:space="preserve"> 4° 8' 53.57" RT</t>
  </si>
  <si>
    <t>13,61</t>
  </si>
  <si>
    <t xml:space="preserve"> 216° 10' 33.11"</t>
  </si>
  <si>
    <t>13,62</t>
  </si>
  <si>
    <t xml:space="preserve"> 217° 11' 56.41"</t>
  </si>
  <si>
    <t>13,63</t>
  </si>
  <si>
    <t>13,47</t>
  </si>
  <si>
    <t>13,48</t>
  </si>
  <si>
    <t>13,49</t>
  </si>
  <si>
    <t>13,50</t>
  </si>
  <si>
    <t>14,64</t>
  </si>
  <si>
    <t xml:space="preserve"> 213° 41' 51.34"</t>
  </si>
  <si>
    <t>14,65</t>
  </si>
  <si>
    <t xml:space="preserve"> 14° 43' 57.37" LT</t>
  </si>
  <si>
    <t>14,66</t>
  </si>
  <si>
    <t xml:space="preserve"> 205° 58' 4.11"</t>
  </si>
  <si>
    <t>14,67</t>
  </si>
  <si>
    <t xml:space="preserve"> 202° 27' 59.04"</t>
  </si>
  <si>
    <t>14,68</t>
  </si>
  <si>
    <t>14,51</t>
  </si>
  <si>
    <t>14,52</t>
  </si>
  <si>
    <t>14,53</t>
  </si>
  <si>
    <t>14,54</t>
  </si>
  <si>
    <t>15,69</t>
  </si>
  <si>
    <t xml:space="preserve"> 201° 25' 51.36"</t>
  </si>
  <si>
    <t>15,70</t>
  </si>
  <si>
    <t xml:space="preserve"> 4° 10' 21.42" LT</t>
  </si>
  <si>
    <t>15,71</t>
  </si>
  <si>
    <t xml:space="preserve"> 199° 19' 45.3"</t>
  </si>
  <si>
    <t>15,72</t>
  </si>
  <si>
    <t xml:space="preserve"> 198° 17' 37.62"</t>
  </si>
  <si>
    <t>15,73</t>
  </si>
  <si>
    <t>15,55</t>
  </si>
  <si>
    <t>15,56</t>
  </si>
  <si>
    <t>15,57</t>
  </si>
  <si>
    <t>15,58</t>
  </si>
  <si>
    <t>16,74</t>
  </si>
  <si>
    <t>16,59</t>
  </si>
  <si>
    <t>SETTING OUT DATA - VERTICAL ALIGNMENT</t>
  </si>
  <si>
    <t>VERTICAL MAIN POINTS</t>
  </si>
  <si>
    <t>VERTICAL ELEMENTS</t>
  </si>
  <si>
    <t>VIP NO.</t>
  </si>
  <si>
    <t>ELEVATION</t>
  </si>
  <si>
    <t>GRADIENT 1</t>
  </si>
  <si>
    <t>GRADIENT 2</t>
  </si>
  <si>
    <t>LVC</t>
  </si>
  <si>
    <t>LVC 1</t>
  </si>
  <si>
    <t>LVC 2</t>
  </si>
  <si>
    <t>(%)</t>
  </si>
  <si>
    <t>VERTICAL ALIGNMENT DATA</t>
  </si>
  <si>
    <t>GRADIENT 1 (%)</t>
  </si>
  <si>
    <t>GRADIENT 2 (%)</t>
  </si>
  <si>
    <t>T = Tangent</t>
  </si>
  <si>
    <t>S = Symmetric Curve</t>
  </si>
  <si>
    <t>U = Unsymmetric Curve</t>
  </si>
  <si>
    <t>PVC</t>
  </si>
  <si>
    <t>PVI</t>
  </si>
  <si>
    <t>PVT</t>
  </si>
  <si>
    <t>S</t>
  </si>
  <si>
    <t>2,4</t>
  </si>
  <si>
    <t>2,3</t>
  </si>
  <si>
    <t>3,7</t>
  </si>
  <si>
    <t>3,8</t>
  </si>
  <si>
    <t>3,5</t>
  </si>
  <si>
    <t>3,6</t>
  </si>
  <si>
    <t>4,10</t>
  </si>
  <si>
    <t>4,11</t>
  </si>
  <si>
    <t>4,12</t>
  </si>
  <si>
    <t>4,7</t>
  </si>
  <si>
    <t>4,8</t>
  </si>
  <si>
    <t>5,13</t>
  </si>
  <si>
    <t>5,14</t>
  </si>
  <si>
    <t>5,15</t>
  </si>
  <si>
    <t>5,9</t>
  </si>
  <si>
    <t>5,10</t>
  </si>
  <si>
    <t>6,16</t>
  </si>
  <si>
    <t>6,17</t>
  </si>
  <si>
    <t>6,18</t>
  </si>
  <si>
    <t>6,11</t>
  </si>
  <si>
    <t>6,12</t>
  </si>
  <si>
    <t>7,19</t>
  </si>
  <si>
    <t>7,20</t>
  </si>
  <si>
    <t>7,21</t>
  </si>
  <si>
    <t>7,13</t>
  </si>
  <si>
    <t>7,14</t>
  </si>
  <si>
    <t>8,22</t>
  </si>
  <si>
    <t>8,23</t>
  </si>
  <si>
    <t>8,24</t>
  </si>
  <si>
    <t>8,15</t>
  </si>
  <si>
    <t>8,16</t>
  </si>
  <si>
    <t>9,25</t>
  </si>
  <si>
    <t>9,26</t>
  </si>
  <si>
    <t>9,27</t>
  </si>
  <si>
    <t>9,17</t>
  </si>
  <si>
    <t>9,18</t>
  </si>
  <si>
    <t>10,28</t>
  </si>
  <si>
    <t>10,29</t>
  </si>
  <si>
    <t>10,30</t>
  </si>
  <si>
    <t>10,19</t>
  </si>
  <si>
    <t>10,20</t>
  </si>
  <si>
    <t>11,31</t>
  </si>
  <si>
    <t>11,21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</si>
</sst>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0\+000.000"/>
    <numFmt numFmtId="166" formatCode="0.000"/>
    <numFmt numFmtId="167" formatCode="0.0000"/>
  </numFmts>
  <fonts count="1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8"/>
      <color theme="0"/>
      <name val="Arial"/>
      <family val="2"/>
    </font>
    <font>
      <sz val="8"/>
      <color theme="4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i/>
      <sz val="8"/>
      <color indexed="8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4"/>
      <name val="Arial"/>
      <family val="2"/>
    </font>
    <font>
      <b/>
      <sz val="13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164" fontId="1" fillId="3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165" fontId="5" fillId="5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165" fontId="5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9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2</xdr:row>
      <xdr:rowOff>15240</xdr:rowOff>
    </xdr:from>
    <xdr:to>
      <xdr:col>10</xdr:col>
      <xdr:colOff>190500</xdr:colOff>
      <xdr:row>3</xdr:row>
      <xdr:rowOff>243840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D951F21E-A83C-FD9E-875A-50AC09EE1671}"/>
            </a:ext>
          </a:extLst>
        </xdr:cNvPr>
        <xdr:cNvGrpSpPr/>
      </xdr:nvGrpSpPr>
      <xdr:grpSpPr>
        <a:xfrm>
          <a:off x="7299960" y="518160"/>
          <a:ext cx="2026920" cy="480060"/>
          <a:chOff x="7299960" y="518160"/>
          <a:chExt cx="2026920" cy="480060"/>
        </a:xfrm>
      </xdr:grpSpPr>
      <xdr:sp macro="[0]!HorAlignmentCom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2F172B78-2066-05D2-9731-BA8084F69042}"/>
              </a:ext>
            </a:extLst>
          </xdr:cNvPr>
          <xdr:cNvSpPr/>
        </xdr:nvSpPr>
        <xdr:spPr>
          <a:xfrm>
            <a:off x="7299960" y="51816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HorAlignmentComp">
        <xdr:nvPicPr>
          <xdr:cNvPr id="4" name="Graphic 3" descr="Crane">
            <a:extLst>
              <a:ext uri="{FF2B5EF4-FFF2-40B4-BE49-F238E27FC236}">
                <a16:creationId xmlns:a16="http://schemas.microsoft.com/office/drawing/2014/main" id="{31FCEF39-3908-7600-1E8D-9E6E11A79D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421880" y="525780"/>
            <a:ext cx="441960" cy="441960"/>
          </a:xfrm>
          <a:prstGeom prst="rect">
            <a:avLst/>
          </a:prstGeom>
        </xdr:spPr>
      </xdr:pic>
      <xdr:sp macro="[0]!HorAlignmentComp" textlink="">
        <xdr:nvSpPr>
          <xdr:cNvPr id="5" name="TextBox 4">
            <a:extLst>
              <a:ext uri="{FF2B5EF4-FFF2-40B4-BE49-F238E27FC236}">
                <a16:creationId xmlns:a16="http://schemas.microsoft.com/office/drawing/2014/main" id="{3046B1AD-361F-4D79-2106-D17FD8C5E017}"/>
              </a:ext>
            </a:extLst>
          </xdr:cNvPr>
          <xdr:cNvSpPr txBox="1"/>
        </xdr:nvSpPr>
        <xdr:spPr>
          <a:xfrm>
            <a:off x="7871460" y="58674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Horizontal Alignment</a:t>
            </a:r>
          </a:p>
        </xdr:txBody>
      </xdr:sp>
    </xdr:grpSp>
    <xdr:clientData/>
  </xdr:twoCellAnchor>
  <xdr:twoCellAnchor>
    <xdr:from>
      <xdr:col>7</xdr:col>
      <xdr:colOff>30480</xdr:colOff>
      <xdr:row>5</xdr:row>
      <xdr:rowOff>121920</xdr:rowOff>
    </xdr:from>
    <xdr:to>
      <xdr:col>10</xdr:col>
      <xdr:colOff>137160</xdr:colOff>
      <xdr:row>7</xdr:row>
      <xdr:rowOff>99060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DF53204B-DB6E-9D35-6A13-FBE92E1AD5E8}"/>
            </a:ext>
          </a:extLst>
        </xdr:cNvPr>
        <xdr:cNvGrpSpPr/>
      </xdr:nvGrpSpPr>
      <xdr:grpSpPr>
        <a:xfrm>
          <a:off x="7338060" y="1379220"/>
          <a:ext cx="1935480" cy="480060"/>
          <a:chOff x="7338060" y="1379220"/>
          <a:chExt cx="1935480" cy="480060"/>
        </a:xfrm>
      </xdr:grpSpPr>
      <xdr:sp macro="[0]!ClearData_HIP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44ECC21D-00B7-8E1C-09FE-F7964DA142A3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HIP" textlink="">
        <xdr:nvSpPr>
          <xdr:cNvPr id="8" name="TextBox 7">
            <a:extLst>
              <a:ext uri="{FF2B5EF4-FFF2-40B4-BE49-F238E27FC236}">
                <a16:creationId xmlns:a16="http://schemas.microsoft.com/office/drawing/2014/main" id="{4A94E405-4C70-7A95-EDD5-08C0FCBA6969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HIP">
        <xdr:nvPicPr>
          <xdr:cNvPr id="11" name="Graphic 10" descr="Eraser">
            <a:extLst>
              <a:ext uri="{FF2B5EF4-FFF2-40B4-BE49-F238E27FC236}">
                <a16:creationId xmlns:a16="http://schemas.microsoft.com/office/drawing/2014/main" id="{DE6DDE6A-6FE0-6EF3-4D7F-BDC982808E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914400</xdr:colOff>
      <xdr:row>1</xdr:row>
      <xdr:rowOff>220980</xdr:rowOff>
    </xdr:from>
    <xdr:to>
      <xdr:col>9</xdr:col>
      <xdr:colOff>441960</xdr:colOff>
      <xdr:row>3</xdr:row>
      <xdr:rowOff>220980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E425AD6-3F1C-7996-6295-A784C9A37761}"/>
            </a:ext>
          </a:extLst>
        </xdr:cNvPr>
        <xdr:cNvGrpSpPr/>
      </xdr:nvGrpSpPr>
      <xdr:grpSpPr>
        <a:xfrm>
          <a:off x="8641080" y="472440"/>
          <a:ext cx="2026920" cy="502920"/>
          <a:chOff x="6065520" y="472440"/>
          <a:chExt cx="2026920" cy="502920"/>
        </a:xfrm>
      </xdr:grpSpPr>
      <xdr:sp macro="[0]!VerAlignmentComp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27C691D7-116D-F6CB-3111-8BC600F2FBD7}"/>
              </a:ext>
            </a:extLst>
          </xdr:cNvPr>
          <xdr:cNvSpPr/>
        </xdr:nvSpPr>
        <xdr:spPr>
          <a:xfrm>
            <a:off x="6065520" y="495300"/>
            <a:ext cx="1935480" cy="48006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VerAlignmentComp" textlink="">
        <xdr:nvSpPr>
          <xdr:cNvPr id="7" name="TextBox 6">
            <a:extLst>
              <a:ext uri="{FF2B5EF4-FFF2-40B4-BE49-F238E27FC236}">
                <a16:creationId xmlns:a16="http://schemas.microsoft.com/office/drawing/2014/main" id="{06C0453F-3D79-19BD-66E6-510C15D7909F}"/>
              </a:ext>
            </a:extLst>
          </xdr:cNvPr>
          <xdr:cNvSpPr txBox="1"/>
        </xdr:nvSpPr>
        <xdr:spPr>
          <a:xfrm>
            <a:off x="6637020" y="563880"/>
            <a:ext cx="1455420" cy="3733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Compute!</a:t>
            </a:r>
          </a:p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Vertical Alignment</a:t>
            </a:r>
          </a:p>
        </xdr:txBody>
      </xdr:sp>
      <xdr:pic macro="[0]!VerAlignmentComp">
        <xdr:nvPicPr>
          <xdr:cNvPr id="9" name="Graphic 8" descr="Bridge scene">
            <a:extLst>
              <a:ext uri="{FF2B5EF4-FFF2-40B4-BE49-F238E27FC236}">
                <a16:creationId xmlns:a16="http://schemas.microsoft.com/office/drawing/2014/main" id="{C74A27BE-6307-D812-07A0-3BE7C54A4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202680" y="472440"/>
            <a:ext cx="449580" cy="44958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914400</xdr:colOff>
      <xdr:row>5</xdr:row>
      <xdr:rowOff>68580</xdr:rowOff>
    </xdr:from>
    <xdr:to>
      <xdr:col>9</xdr:col>
      <xdr:colOff>350520</xdr:colOff>
      <xdr:row>7</xdr:row>
      <xdr:rowOff>45720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641810-33EC-405C-B4D3-D393D0933312}"/>
            </a:ext>
          </a:extLst>
        </xdr:cNvPr>
        <xdr:cNvGrpSpPr/>
      </xdr:nvGrpSpPr>
      <xdr:grpSpPr>
        <a:xfrm>
          <a:off x="8641080" y="1325880"/>
          <a:ext cx="1935480" cy="480060"/>
          <a:chOff x="7338060" y="1379220"/>
          <a:chExt cx="1935480" cy="480060"/>
        </a:xfrm>
      </xdr:grpSpPr>
      <xdr:sp macro="[0]!ClearData_VIP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A203BD8-B90C-A5B4-E747-CCF0C4AB3A42}"/>
              </a:ext>
            </a:extLst>
          </xdr:cNvPr>
          <xdr:cNvSpPr/>
        </xdr:nvSpPr>
        <xdr:spPr>
          <a:xfrm>
            <a:off x="7338060" y="1379220"/>
            <a:ext cx="1935480" cy="480060"/>
          </a:xfrm>
          <a:prstGeom prst="roundRect">
            <a:avLst/>
          </a:prstGeom>
          <a:solidFill>
            <a:schemeClr val="accent4">
              <a:lumMod val="20000"/>
              <a:lumOff val="80000"/>
            </a:schemeClr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earData_VIP" textlink="">
        <xdr:nvSpPr>
          <xdr:cNvPr id="4" name="TextBox 3">
            <a:extLst>
              <a:ext uri="{FF2B5EF4-FFF2-40B4-BE49-F238E27FC236}">
                <a16:creationId xmlns:a16="http://schemas.microsoft.com/office/drawing/2014/main" id="{CCDC0D8A-8241-3C55-1F13-1BCFA77953A1}"/>
              </a:ext>
            </a:extLst>
          </xdr:cNvPr>
          <xdr:cNvSpPr txBox="1"/>
        </xdr:nvSpPr>
        <xdr:spPr>
          <a:xfrm>
            <a:off x="8130540" y="1508760"/>
            <a:ext cx="845820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</a:t>
            </a:r>
            <a:r>
              <a:rPr lang="en-US" sz="900" b="1" i="0" baseline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Data</a:t>
            </a:r>
            <a:r>
              <a:rPr lang="en-US" sz="900" b="1" i="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!</a:t>
            </a:r>
          </a:p>
        </xdr:txBody>
      </xdr:sp>
      <xdr:pic macro="[0]!ClearData_VIP">
        <xdr:nvPicPr>
          <xdr:cNvPr id="6" name="Graphic 5" descr="Eraser">
            <a:extLst>
              <a:ext uri="{FF2B5EF4-FFF2-40B4-BE49-F238E27FC236}">
                <a16:creationId xmlns:a16="http://schemas.microsoft.com/office/drawing/2014/main" id="{11376CF3-2DE4-ABC3-3CA7-D75D54A39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703820" y="1409700"/>
            <a:ext cx="388620" cy="38862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F033D-1501-407C-9517-387A44E9B0A2}">
  <sheetPr codeName="Sheet1">
    <tabColor rgb="FF0070C0"/>
  </sheetPr>
  <dimension ref="A1:I20"/>
  <sheetViews>
    <sheetView tabSelected="1" zoomScaleNormal="100" workbookViewId="0">
      <selection activeCell="E12" sqref="E12"/>
    </sheetView>
  </sheetViews>
  <sheetFormatPr defaultRowHeight="19.95" customHeight="1" x14ac:dyDescent="0.2"/>
  <cols>
    <col min="1" max="1" width="18.77734375" style="6" customWidth="1"/>
    <col min="2" max="3" width="18.77734375" style="7" customWidth="1"/>
    <col min="4" max="6" width="13.77734375" style="8" customWidth="1"/>
    <col min="7" max="16384" width="8.88671875" style="3"/>
  </cols>
  <sheetData>
    <row r="1" spans="1:9" ht="19.95" customHeight="1" x14ac:dyDescent="0.2">
      <c r="A1" s="10" t="s">
        <v>0</v>
      </c>
      <c r="B1" s="4" t="s">
        <v>34</v>
      </c>
      <c r="C1" s="17"/>
      <c r="D1" s="13"/>
      <c r="E1" s="13"/>
      <c r="F1" s="13"/>
    </row>
    <row r="2" spans="1:9" ht="19.95" customHeight="1" x14ac:dyDescent="0.2">
      <c r="A2" s="10" t="s">
        <v>3</v>
      </c>
      <c r="B2" s="5">
        <v>7202.8339999999998</v>
      </c>
      <c r="C2" s="18"/>
      <c r="D2" s="19"/>
      <c r="E2" s="12"/>
      <c r="F2" s="12"/>
    </row>
    <row r="3" spans="1:9" ht="19.95" customHeight="1" x14ac:dyDescent="0.2">
      <c r="A3" s="10" t="s">
        <v>8</v>
      </c>
      <c r="B3" s="11" t="s">
        <v>4</v>
      </c>
      <c r="C3" s="11" t="s">
        <v>25</v>
      </c>
      <c r="D3" s="10" t="s">
        <v>5</v>
      </c>
      <c r="E3" s="10" t="s">
        <v>6</v>
      </c>
      <c r="F3" s="10" t="s">
        <v>7</v>
      </c>
    </row>
    <row r="4" spans="1:9" ht="19.95" customHeight="1" x14ac:dyDescent="0.2">
      <c r="A4" s="6" t="s">
        <v>35</v>
      </c>
      <c r="B4" s="7">
        <v>662670.304</v>
      </c>
      <c r="C4" s="7">
        <v>1521355.848</v>
      </c>
      <c r="D4" s="8">
        <v>0</v>
      </c>
      <c r="E4" s="8">
        <v>0</v>
      </c>
      <c r="F4" s="8">
        <v>0</v>
      </c>
    </row>
    <row r="5" spans="1:9" ht="19.95" customHeight="1" x14ac:dyDescent="0.2">
      <c r="A5" s="6" t="s">
        <v>9</v>
      </c>
      <c r="B5" s="7">
        <v>662754.21519999998</v>
      </c>
      <c r="C5" s="7">
        <v>1521204.9264</v>
      </c>
      <c r="D5" s="8">
        <v>200</v>
      </c>
      <c r="E5" s="8">
        <v>30</v>
      </c>
      <c r="F5" s="8">
        <v>30</v>
      </c>
    </row>
    <row r="6" spans="1:9" ht="19.95" customHeight="1" x14ac:dyDescent="0.2">
      <c r="A6" s="6" t="s">
        <v>10</v>
      </c>
      <c r="B6" s="7">
        <v>662713.11410000001</v>
      </c>
      <c r="C6" s="7">
        <v>1521044.4749</v>
      </c>
      <c r="D6" s="8">
        <v>2200</v>
      </c>
      <c r="E6" s="8">
        <v>25</v>
      </c>
      <c r="F6" s="8">
        <v>25</v>
      </c>
      <c r="G6" s="2"/>
      <c r="H6" s="1"/>
      <c r="I6" s="1"/>
    </row>
    <row r="7" spans="1:9" ht="19.95" customHeight="1" x14ac:dyDescent="0.2">
      <c r="A7" s="6" t="s">
        <v>11</v>
      </c>
      <c r="B7" s="7">
        <v>662669.88199999998</v>
      </c>
      <c r="C7" s="7">
        <v>1520857.9092999999</v>
      </c>
      <c r="D7" s="8">
        <v>2300</v>
      </c>
      <c r="E7" s="8">
        <v>25</v>
      </c>
      <c r="F7" s="8">
        <v>25</v>
      </c>
    </row>
    <row r="8" spans="1:9" ht="19.95" customHeight="1" x14ac:dyDescent="0.2">
      <c r="A8" s="6" t="s">
        <v>12</v>
      </c>
      <c r="B8" s="7">
        <v>662637.51</v>
      </c>
      <c r="C8" s="7">
        <v>1520733.0822999999</v>
      </c>
      <c r="D8" s="8">
        <v>2400</v>
      </c>
      <c r="E8" s="8">
        <v>25</v>
      </c>
      <c r="F8" s="8">
        <v>25</v>
      </c>
    </row>
    <row r="9" spans="1:9" ht="19.95" customHeight="1" x14ac:dyDescent="0.2">
      <c r="A9" s="6" t="s">
        <v>13</v>
      </c>
      <c r="B9" s="7">
        <v>662607.25919999997</v>
      </c>
      <c r="C9" s="7">
        <v>1520600.0859000001</v>
      </c>
      <c r="D9" s="8">
        <v>215</v>
      </c>
      <c r="E9" s="8">
        <v>18</v>
      </c>
      <c r="F9" s="8">
        <v>18</v>
      </c>
    </row>
    <row r="10" spans="1:9" ht="19.95" customHeight="1" x14ac:dyDescent="0.2">
      <c r="A10" s="6" t="s">
        <v>14</v>
      </c>
      <c r="B10" s="7">
        <v>662585.06180000002</v>
      </c>
      <c r="C10" s="7">
        <v>1520548.6359000001</v>
      </c>
      <c r="D10" s="8">
        <v>215</v>
      </c>
      <c r="E10" s="8">
        <v>18</v>
      </c>
      <c r="F10" s="8">
        <v>18</v>
      </c>
    </row>
    <row r="11" spans="1:9" ht="19.95" customHeight="1" x14ac:dyDescent="0.2">
      <c r="A11" s="6" t="s">
        <v>15</v>
      </c>
      <c r="B11" s="7">
        <v>662526.22840000002</v>
      </c>
      <c r="C11" s="7">
        <v>1520306.311</v>
      </c>
      <c r="D11" s="8">
        <v>750</v>
      </c>
      <c r="E11" s="8">
        <v>0</v>
      </c>
      <c r="F11" s="8">
        <v>0</v>
      </c>
    </row>
    <row r="12" spans="1:9" ht="19.95" customHeight="1" x14ac:dyDescent="0.2">
      <c r="A12" s="6" t="s">
        <v>16</v>
      </c>
      <c r="B12" s="7">
        <v>662506.25379999995</v>
      </c>
      <c r="C12" s="7">
        <v>1520200.3117</v>
      </c>
      <c r="D12" s="8">
        <v>620</v>
      </c>
      <c r="E12" s="8">
        <v>20</v>
      </c>
      <c r="F12" s="8">
        <v>20</v>
      </c>
    </row>
    <row r="13" spans="1:9" ht="19.95" customHeight="1" x14ac:dyDescent="0.2">
      <c r="A13" s="6" t="s">
        <v>1</v>
      </c>
      <c r="B13" s="7">
        <v>662462.50580000004</v>
      </c>
      <c r="C13" s="7">
        <v>1520036.3677999999</v>
      </c>
      <c r="D13" s="8">
        <v>245</v>
      </c>
      <c r="E13" s="8">
        <v>50</v>
      </c>
      <c r="F13" s="8">
        <v>50</v>
      </c>
    </row>
    <row r="14" spans="1:9" ht="19.95" customHeight="1" x14ac:dyDescent="0.2">
      <c r="A14" s="6" t="s">
        <v>2</v>
      </c>
      <c r="B14" s="7">
        <v>662209.30630000005</v>
      </c>
      <c r="C14" s="7">
        <v>1519645.1168</v>
      </c>
      <c r="D14" s="8">
        <v>280</v>
      </c>
      <c r="E14" s="8">
        <v>40</v>
      </c>
      <c r="F14" s="8">
        <v>40</v>
      </c>
    </row>
    <row r="15" spans="1:9" ht="19.95" customHeight="1" x14ac:dyDescent="0.2">
      <c r="A15" s="6" t="s">
        <v>17</v>
      </c>
      <c r="B15" s="7">
        <v>662164.13080000004</v>
      </c>
      <c r="C15" s="7">
        <v>1519445.2686999999</v>
      </c>
      <c r="D15" s="8">
        <v>280</v>
      </c>
      <c r="E15" s="8">
        <v>40</v>
      </c>
      <c r="F15" s="8">
        <v>40</v>
      </c>
    </row>
    <row r="16" spans="1:9" ht="19.95" customHeight="1" x14ac:dyDescent="0.2">
      <c r="A16" s="6" t="s">
        <v>18</v>
      </c>
      <c r="B16" s="7">
        <v>661998.25459999999</v>
      </c>
      <c r="C16" s="7">
        <v>1519297.4594000001</v>
      </c>
      <c r="D16" s="8">
        <v>450</v>
      </c>
      <c r="E16" s="8">
        <v>50</v>
      </c>
      <c r="F16" s="8">
        <v>50</v>
      </c>
    </row>
    <row r="17" spans="1:6" ht="19.95" customHeight="1" x14ac:dyDescent="0.2">
      <c r="A17" s="6" t="s">
        <v>19</v>
      </c>
      <c r="B17" s="7">
        <v>661917.4804</v>
      </c>
      <c r="C17" s="7">
        <v>1519173.3191</v>
      </c>
      <c r="D17" s="8">
        <v>700</v>
      </c>
      <c r="E17" s="8">
        <v>25</v>
      </c>
      <c r="F17" s="8">
        <v>25</v>
      </c>
    </row>
    <row r="18" spans="1:6" ht="19.95" customHeight="1" x14ac:dyDescent="0.2">
      <c r="A18" s="6" t="s">
        <v>20</v>
      </c>
      <c r="B18" s="7">
        <v>661800.5477</v>
      </c>
      <c r="C18" s="7">
        <v>1519019.2604</v>
      </c>
      <c r="D18" s="8">
        <v>450</v>
      </c>
      <c r="E18" s="8">
        <v>55</v>
      </c>
      <c r="F18" s="8">
        <v>55</v>
      </c>
    </row>
    <row r="19" spans="1:6" ht="19.95" customHeight="1" x14ac:dyDescent="0.2">
      <c r="A19" s="6" t="s">
        <v>21</v>
      </c>
      <c r="B19" s="7">
        <v>661740.95420000004</v>
      </c>
      <c r="C19" s="7">
        <v>1518875.15</v>
      </c>
      <c r="D19" s="8">
        <v>830</v>
      </c>
      <c r="E19" s="8">
        <v>30</v>
      </c>
      <c r="F19" s="8">
        <v>30</v>
      </c>
    </row>
    <row r="20" spans="1:6" ht="19.95" customHeight="1" x14ac:dyDescent="0.2">
      <c r="A20" s="6" t="s">
        <v>35</v>
      </c>
      <c r="B20" s="7">
        <v>661624.72710000002</v>
      </c>
      <c r="C20" s="7">
        <v>1518523.5837999999</v>
      </c>
      <c r="D20" s="8">
        <v>0</v>
      </c>
      <c r="E20" s="8">
        <v>0</v>
      </c>
      <c r="F20" s="8">
        <v>0</v>
      </c>
    </row>
  </sheetData>
  <sheetProtection sheet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4BD33-4A8C-4C64-93AD-2A2E769C0AE8}">
  <sheetPr codeName="Sheet3">
    <tabColor rgb="FF00B050"/>
  </sheetPr>
  <dimension ref="A1:L15"/>
  <sheetViews>
    <sheetView zoomScaleNormal="100" workbookViewId="0">
      <selection activeCell="B1" sqref="B1"/>
    </sheetView>
  </sheetViews>
  <sheetFormatPr defaultRowHeight="19.95" customHeight="1" x14ac:dyDescent="0.2"/>
  <cols>
    <col min="1" max="1" width="18.77734375" style="6" customWidth="1"/>
    <col min="2" max="2" width="18.77734375" style="15" customWidth="1"/>
    <col min="3" max="3" width="18.77734375" style="7" customWidth="1"/>
    <col min="4" max="6" width="18.77734375" style="8" customWidth="1"/>
    <col min="7" max="8" width="13.77734375" style="2" customWidth="1"/>
    <col min="9" max="16384" width="8.88671875" style="3"/>
  </cols>
  <sheetData>
    <row r="1" spans="1:12" ht="19.95" customHeight="1" x14ac:dyDescent="0.2">
      <c r="A1" s="10" t="s">
        <v>0</v>
      </c>
      <c r="B1" s="9" t="s">
        <v>36</v>
      </c>
      <c r="C1" s="17"/>
      <c r="D1" s="13"/>
      <c r="E1" s="13"/>
      <c r="F1" s="13"/>
    </row>
    <row r="2" spans="1:12" ht="19.95" customHeight="1" x14ac:dyDescent="0.2">
      <c r="A2" s="10" t="s">
        <v>3</v>
      </c>
      <c r="B2" s="20">
        <f>IF(ISBLANK(B4),"",B4)</f>
        <v>7202.8339999999998</v>
      </c>
      <c r="C2" s="18"/>
      <c r="D2" s="19"/>
      <c r="E2" s="19"/>
      <c r="F2" s="19"/>
    </row>
    <row r="3" spans="1:12" ht="19.95" customHeight="1" x14ac:dyDescent="0.2">
      <c r="A3" s="10" t="s">
        <v>22</v>
      </c>
      <c r="B3" s="16" t="s">
        <v>23</v>
      </c>
      <c r="C3" s="11" t="s">
        <v>26</v>
      </c>
      <c r="D3" s="10" t="s">
        <v>24</v>
      </c>
      <c r="E3" s="10" t="s">
        <v>39</v>
      </c>
      <c r="F3" s="10" t="s">
        <v>40</v>
      </c>
      <c r="G3" s="14"/>
      <c r="H3" s="14"/>
    </row>
    <row r="4" spans="1:12" ht="19.95" customHeight="1" x14ac:dyDescent="0.2">
      <c r="A4" s="6" t="s">
        <v>35</v>
      </c>
      <c r="B4" s="15">
        <v>7202.8339999999998</v>
      </c>
      <c r="C4" s="7">
        <v>67.2</v>
      </c>
      <c r="D4" s="8">
        <v>0</v>
      </c>
      <c r="E4" s="8">
        <v>0</v>
      </c>
      <c r="F4" s="8">
        <v>0</v>
      </c>
    </row>
    <row r="5" spans="1:12" ht="19.95" customHeight="1" x14ac:dyDescent="0.2">
      <c r="A5" s="6" t="s">
        <v>9</v>
      </c>
      <c r="B5" s="15">
        <v>7280.4389000000001</v>
      </c>
      <c r="C5" s="7">
        <v>67.2</v>
      </c>
      <c r="D5" s="8">
        <v>90</v>
      </c>
      <c r="E5" s="8">
        <v>0</v>
      </c>
      <c r="F5" s="8">
        <v>0</v>
      </c>
    </row>
    <row r="6" spans="1:12" ht="19.95" customHeight="1" x14ac:dyDescent="0.2">
      <c r="A6" s="6" t="s">
        <v>10</v>
      </c>
      <c r="B6" s="15">
        <v>7590.5415000000003</v>
      </c>
      <c r="C6" s="7">
        <v>77</v>
      </c>
      <c r="D6" s="8">
        <v>70</v>
      </c>
      <c r="E6" s="8">
        <v>0</v>
      </c>
      <c r="F6" s="8">
        <v>0</v>
      </c>
      <c r="J6" s="2"/>
      <c r="K6" s="1"/>
      <c r="L6" s="1"/>
    </row>
    <row r="7" spans="1:12" ht="19.95" customHeight="1" x14ac:dyDescent="0.2">
      <c r="A7" s="6" t="s">
        <v>11</v>
      </c>
      <c r="B7" s="15">
        <v>7706.6205</v>
      </c>
      <c r="C7" s="7">
        <v>77</v>
      </c>
      <c r="D7" s="8">
        <v>50</v>
      </c>
      <c r="E7" s="8">
        <v>0</v>
      </c>
      <c r="F7" s="8">
        <v>0</v>
      </c>
    </row>
    <row r="8" spans="1:12" ht="19.95" customHeight="1" x14ac:dyDescent="0.2">
      <c r="A8" s="6" t="s">
        <v>12</v>
      </c>
      <c r="B8" s="15">
        <v>7964.6850000000004</v>
      </c>
      <c r="C8" s="7">
        <v>79</v>
      </c>
      <c r="D8" s="8">
        <v>70</v>
      </c>
      <c r="E8" s="8">
        <v>0</v>
      </c>
      <c r="F8" s="8">
        <v>0</v>
      </c>
    </row>
    <row r="9" spans="1:12" ht="19.95" customHeight="1" x14ac:dyDescent="0.2">
      <c r="A9" s="6" t="s">
        <v>13</v>
      </c>
      <c r="B9" s="15">
        <v>8420.0452999999998</v>
      </c>
      <c r="C9" s="7">
        <v>79</v>
      </c>
      <c r="D9" s="8">
        <v>100</v>
      </c>
      <c r="E9" s="8">
        <v>0</v>
      </c>
      <c r="F9" s="8">
        <v>0</v>
      </c>
    </row>
    <row r="10" spans="1:12" ht="19.95" customHeight="1" x14ac:dyDescent="0.2">
      <c r="A10" s="6" t="s">
        <v>14</v>
      </c>
      <c r="B10" s="15">
        <v>8696.4632000000001</v>
      </c>
      <c r="C10" s="7">
        <v>69.325400000000002</v>
      </c>
      <c r="D10" s="8">
        <v>30</v>
      </c>
      <c r="E10" s="8">
        <v>0</v>
      </c>
      <c r="F10" s="8">
        <v>0</v>
      </c>
    </row>
    <row r="11" spans="1:12" ht="19.95" customHeight="1" x14ac:dyDescent="0.2">
      <c r="A11" s="6" t="s">
        <v>15</v>
      </c>
      <c r="B11" s="15">
        <v>9005.3983000000007</v>
      </c>
      <c r="C11" s="7">
        <v>60.15</v>
      </c>
      <c r="D11" s="8">
        <v>130</v>
      </c>
      <c r="E11" s="8">
        <v>0</v>
      </c>
      <c r="F11" s="8">
        <v>0</v>
      </c>
    </row>
    <row r="12" spans="1:12" ht="19.95" customHeight="1" x14ac:dyDescent="0.2">
      <c r="A12" s="6" t="s">
        <v>16</v>
      </c>
      <c r="B12" s="15">
        <v>9154.3547999999992</v>
      </c>
      <c r="C12" s="7">
        <v>60.15</v>
      </c>
      <c r="D12" s="8">
        <v>50</v>
      </c>
      <c r="E12" s="8">
        <v>0</v>
      </c>
      <c r="F12" s="8">
        <v>0</v>
      </c>
    </row>
    <row r="13" spans="1:12" ht="19.95" customHeight="1" x14ac:dyDescent="0.2">
      <c r="A13" s="6" t="s">
        <v>1</v>
      </c>
      <c r="B13" s="15">
        <v>9391.1213000000007</v>
      </c>
      <c r="C13" s="7">
        <v>60.766199999999998</v>
      </c>
      <c r="D13" s="8">
        <v>75</v>
      </c>
      <c r="E13" s="8">
        <v>0</v>
      </c>
      <c r="F13" s="8">
        <v>0</v>
      </c>
    </row>
    <row r="14" spans="1:12" ht="19.95" customHeight="1" x14ac:dyDescent="0.2">
      <c r="A14" s="6" t="s">
        <v>2</v>
      </c>
      <c r="B14" s="15">
        <v>9994.5910999999996</v>
      </c>
      <c r="C14" s="7">
        <v>80.56</v>
      </c>
      <c r="D14" s="8">
        <v>100</v>
      </c>
      <c r="E14" s="8">
        <v>0</v>
      </c>
      <c r="F14" s="8">
        <v>0</v>
      </c>
    </row>
    <row r="15" spans="1:12" ht="19.95" customHeight="1" x14ac:dyDescent="0.2">
      <c r="A15" s="6" t="s">
        <v>35</v>
      </c>
      <c r="B15" s="15">
        <v>10324.339400000001</v>
      </c>
      <c r="C15" s="7">
        <v>80.56</v>
      </c>
      <c r="D15" s="8">
        <v>0</v>
      </c>
      <c r="E15" s="8">
        <v>0</v>
      </c>
      <c r="F15" s="8">
        <v>0</v>
      </c>
    </row>
  </sheetData>
  <sheetProtection sheet="1" selectLockedCells="1"/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724F8-3D6B-47EA-9461-82120F7E2AAE}">
  <sheetPr codeName="Sheet2"/>
  <dimension ref="A2:Z81"/>
  <sheetViews>
    <sheetView zoomScale="90" zoomScaleNormal="90" workbookViewId="0">
      <selection activeCell="H14" sqref="H14"/>
    </sheetView>
  </sheetViews>
  <sheetFormatPr defaultRowHeight="19.95" customHeight="1" x14ac:dyDescent="0.3"/>
  <cols>
    <col min="1" max="1" width="8.88671875" style="21"/>
    <col min="2" max="2" width="15.77734375" style="21" customWidth="1"/>
    <col min="3" max="3" width="8.77734375" style="21" customWidth="1"/>
    <col min="4" max="4" width="11.77734375" style="21" customWidth="1"/>
    <col min="5" max="7" width="15.77734375" style="21" customWidth="1"/>
    <col min="8" max="8" width="6.77734375" style="21" customWidth="1"/>
    <col min="9" max="9" width="15.77734375" style="21" customWidth="1"/>
    <col min="10" max="10" width="6.77734375" style="21" customWidth="1"/>
    <col min="11" max="11" width="15.77734375" style="21" customWidth="1"/>
    <col min="12" max="12" width="6.77734375" style="21" customWidth="1"/>
    <col min="13" max="13" width="4.88671875" style="21" customWidth="1"/>
    <col min="14" max="17" width="9.77734375" style="21" customWidth="1"/>
    <col min="18" max="18" width="20.77734375" style="21" customWidth="1"/>
    <col min="19" max="16384" width="8.88671875" style="21"/>
  </cols>
  <sheetData>
    <row r="2" spans="1:26" ht="19.95" customHeight="1" x14ac:dyDescent="0.3">
      <c r="B2" s="22" t="s">
        <v>41</v>
      </c>
      <c r="C2" s="35" t="s">
        <v>34</v>
      </c>
      <c r="D2" s="35"/>
      <c r="E2" s="35"/>
    </row>
    <row r="3" spans="1:26" ht="30" customHeight="1" x14ac:dyDescent="0.3">
      <c r="B3" s="34" t="s">
        <v>42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</row>
    <row r="4" spans="1:26" ht="19.95" customHeight="1" x14ac:dyDescent="0.3">
      <c r="B4" s="22"/>
      <c r="C4" s="36" t="s">
        <v>43</v>
      </c>
      <c r="D4" s="36"/>
      <c r="E4" s="36"/>
      <c r="F4" s="36"/>
      <c r="G4" s="36"/>
      <c r="H4" s="36"/>
      <c r="I4" s="36" t="s">
        <v>44</v>
      </c>
      <c r="J4" s="36"/>
      <c r="K4" s="36"/>
      <c r="L4" s="36"/>
      <c r="M4" s="36"/>
      <c r="N4" s="36"/>
      <c r="O4" s="36"/>
      <c r="P4" s="36"/>
      <c r="Q4" s="36"/>
      <c r="R4" s="22"/>
    </row>
    <row r="5" spans="1:26" ht="19.95" customHeight="1" x14ac:dyDescent="0.3">
      <c r="B5" s="22" t="s">
        <v>45</v>
      </c>
      <c r="C5" s="22" t="s">
        <v>46</v>
      </c>
      <c r="D5" s="22" t="s">
        <v>47</v>
      </c>
      <c r="E5" s="22" t="s">
        <v>48</v>
      </c>
      <c r="F5" s="22" t="s">
        <v>49</v>
      </c>
      <c r="G5" s="36" t="s">
        <v>50</v>
      </c>
      <c r="H5" s="36"/>
      <c r="I5" s="36" t="s">
        <v>51</v>
      </c>
      <c r="J5" s="36"/>
      <c r="K5" s="36" t="s">
        <v>52</v>
      </c>
      <c r="L5" s="36"/>
      <c r="M5" s="36"/>
      <c r="N5" s="36" t="s">
        <v>53</v>
      </c>
      <c r="O5" s="36"/>
      <c r="P5" s="36"/>
      <c r="Q5" s="36"/>
      <c r="R5" s="22" t="s">
        <v>54</v>
      </c>
    </row>
    <row r="6" spans="1:26" ht="19.95" customHeight="1" x14ac:dyDescent="0.3">
      <c r="B6" s="22"/>
      <c r="C6" s="22"/>
      <c r="D6" s="22" t="s">
        <v>55</v>
      </c>
      <c r="E6" s="22" t="s">
        <v>55</v>
      </c>
      <c r="F6" s="22" t="s">
        <v>55</v>
      </c>
      <c r="G6" s="22" t="s">
        <v>56</v>
      </c>
      <c r="H6" s="22" t="s">
        <v>57</v>
      </c>
      <c r="I6" s="22" t="s">
        <v>56</v>
      </c>
      <c r="J6" s="22" t="s">
        <v>57</v>
      </c>
      <c r="K6" s="22" t="s">
        <v>56</v>
      </c>
      <c r="L6" s="22" t="s">
        <v>57</v>
      </c>
      <c r="M6" s="22" t="s">
        <v>58</v>
      </c>
      <c r="N6" s="22" t="s">
        <v>5</v>
      </c>
      <c r="O6" s="22" t="s">
        <v>59</v>
      </c>
      <c r="P6" s="22" t="s">
        <v>60</v>
      </c>
      <c r="Q6" s="22" t="s">
        <v>61</v>
      </c>
      <c r="R6" s="22"/>
    </row>
    <row r="7" spans="1:26" ht="19.95" customHeight="1" x14ac:dyDescent="0.3">
      <c r="A7" s="21" t="s">
        <v>76</v>
      </c>
      <c r="B7" s="26" t="s">
        <v>35</v>
      </c>
      <c r="C7" s="26" t="s">
        <v>27</v>
      </c>
      <c r="D7" s="27">
        <v>7202.8339999999998</v>
      </c>
      <c r="E7" s="28">
        <v>662670.304</v>
      </c>
      <c r="F7" s="28">
        <v>1521355.848</v>
      </c>
      <c r="G7" s="26" t="s">
        <v>75</v>
      </c>
      <c r="H7" s="29">
        <v>150.92629300070647</v>
      </c>
      <c r="X7" s="29">
        <f>D7-U7</f>
        <v>7202.8339999999998</v>
      </c>
      <c r="Y7" s="29">
        <f t="shared" ref="Y7:Z7" si="0">E7-V7</f>
        <v>662670.304</v>
      </c>
      <c r="Z7" s="29">
        <f t="shared" si="0"/>
        <v>1521355.848</v>
      </c>
    </row>
    <row r="8" spans="1:26" ht="19.95" customHeight="1" x14ac:dyDescent="0.3">
      <c r="A8" s="21" t="s">
        <v>79</v>
      </c>
      <c r="C8" s="26" t="s">
        <v>28</v>
      </c>
      <c r="D8" s="27">
        <v>7280.7684697643826</v>
      </c>
      <c r="E8" s="28">
        <v>662708.17503886321</v>
      </c>
      <c r="F8" s="28">
        <v>1521287.7336403327</v>
      </c>
      <c r="G8" s="26" t="s">
        <v>75</v>
      </c>
      <c r="H8" s="29">
        <v>150.92629300070647</v>
      </c>
      <c r="X8" s="29">
        <f t="shared" ref="X8:X71" si="1">D8-U8</f>
        <v>7280.7684697643826</v>
      </c>
      <c r="Y8" s="29">
        <f t="shared" ref="Y8:Y71" si="2">E8-V8</f>
        <v>662708.17503886321</v>
      </c>
      <c r="Z8" s="29">
        <f t="shared" ref="Z8:Z71" si="3">F8-W8</f>
        <v>1521287.7336403327</v>
      </c>
    </row>
    <row r="9" spans="1:26" ht="19.95" customHeight="1" x14ac:dyDescent="0.3">
      <c r="A9" s="21" t="s">
        <v>81</v>
      </c>
      <c r="C9" s="26" t="s">
        <v>29</v>
      </c>
      <c r="D9" s="27">
        <v>7310.7684697643826</v>
      </c>
      <c r="E9" s="28">
        <v>662722.08963891165</v>
      </c>
      <c r="F9" s="28">
        <v>1521261.1642217757</v>
      </c>
      <c r="G9" s="26" t="s">
        <v>80</v>
      </c>
      <c r="H9" s="29">
        <v>155.22347622824552</v>
      </c>
      <c r="X9" s="29">
        <f t="shared" si="1"/>
        <v>7310.7684697643826</v>
      </c>
      <c r="Y9" s="29">
        <f t="shared" si="2"/>
        <v>662722.08963891165</v>
      </c>
      <c r="Z9" s="29">
        <f t="shared" si="3"/>
        <v>1521261.1642217757</v>
      </c>
    </row>
    <row r="10" spans="1:26" ht="19.95" customHeight="1" x14ac:dyDescent="0.3">
      <c r="A10" s="21" t="s">
        <v>85</v>
      </c>
      <c r="B10" s="26" t="s">
        <v>9</v>
      </c>
      <c r="C10" s="26" t="s">
        <v>82</v>
      </c>
      <c r="D10" s="27">
        <v>7375.5141054898795</v>
      </c>
      <c r="E10" s="28">
        <v>662754.21519999998</v>
      </c>
      <c r="F10" s="28">
        <v>1521204.9264</v>
      </c>
      <c r="I10" s="26" t="s">
        <v>75</v>
      </c>
      <c r="J10" s="29">
        <v>150.92629300070647</v>
      </c>
      <c r="K10" s="26" t="s">
        <v>83</v>
      </c>
      <c r="L10" s="29">
        <v>43.441593554105651</v>
      </c>
      <c r="M10" s="26" t="s">
        <v>84</v>
      </c>
      <c r="N10" s="29">
        <v>200</v>
      </c>
      <c r="O10" s="29">
        <v>30</v>
      </c>
      <c r="P10" s="29">
        <v>121.63976679180055</v>
      </c>
      <c r="Q10" s="29">
        <v>30</v>
      </c>
      <c r="X10" s="29">
        <f t="shared" si="1"/>
        <v>7375.5141054898795</v>
      </c>
      <c r="Y10" s="29">
        <f t="shared" si="2"/>
        <v>662754.21519999998</v>
      </c>
      <c r="Z10" s="29">
        <f t="shared" si="3"/>
        <v>1521204.9264</v>
      </c>
    </row>
    <row r="11" spans="1:26" ht="19.95" customHeight="1" x14ac:dyDescent="0.3">
      <c r="A11" s="21" t="s">
        <v>87</v>
      </c>
      <c r="C11" s="26" t="s">
        <v>30</v>
      </c>
      <c r="D11" s="27">
        <v>7432.4082365561835</v>
      </c>
      <c r="E11" s="28">
        <v>662737.41833189619</v>
      </c>
      <c r="F11" s="28">
        <v>1521142.3755447094</v>
      </c>
      <c r="G11" s="26" t="s">
        <v>86</v>
      </c>
      <c r="H11" s="29">
        <v>190.07070332727307</v>
      </c>
      <c r="X11" s="29">
        <f t="shared" si="1"/>
        <v>7432.4082365561835</v>
      </c>
      <c r="Y11" s="29">
        <f t="shared" si="2"/>
        <v>662737.41833189619</v>
      </c>
      <c r="Z11" s="29">
        <f t="shared" si="3"/>
        <v>1521142.3755447094</v>
      </c>
    </row>
    <row r="12" spans="1:26" ht="19.95" customHeight="1" x14ac:dyDescent="0.3">
      <c r="A12" s="21" t="s">
        <v>89</v>
      </c>
      <c r="C12" s="26" t="s">
        <v>31</v>
      </c>
      <c r="D12" s="27">
        <v>7462.4082365561835</v>
      </c>
      <c r="E12" s="28">
        <v>662730.70435984794</v>
      </c>
      <c r="F12" s="28">
        <v>1521113.1441801295</v>
      </c>
      <c r="G12" s="26" t="s">
        <v>88</v>
      </c>
      <c r="H12" s="29">
        <v>194.36788655481212</v>
      </c>
      <c r="X12" s="29">
        <f t="shared" si="1"/>
        <v>7462.4082365561835</v>
      </c>
      <c r="Y12" s="29">
        <f t="shared" si="2"/>
        <v>662730.70435984794</v>
      </c>
      <c r="Z12" s="29">
        <f t="shared" si="3"/>
        <v>1521113.1441801295</v>
      </c>
    </row>
    <row r="13" spans="1:26" ht="19.95" customHeight="1" x14ac:dyDescent="0.3">
      <c r="A13" s="21" t="s">
        <v>93</v>
      </c>
      <c r="C13" s="26" t="s">
        <v>28</v>
      </c>
      <c r="D13" s="27">
        <v>7495.4275500033864</v>
      </c>
      <c r="E13" s="28">
        <v>662722.51071163139</v>
      </c>
      <c r="F13" s="28">
        <v>1521081.1576331225</v>
      </c>
      <c r="G13" s="26" t="s">
        <v>88</v>
      </c>
      <c r="H13" s="29">
        <v>194.36788655481212</v>
      </c>
      <c r="X13" s="29">
        <f t="shared" si="1"/>
        <v>7495.4275500033864</v>
      </c>
      <c r="Y13" s="29">
        <f t="shared" si="2"/>
        <v>662722.51071163139</v>
      </c>
      <c r="Z13" s="29">
        <f t="shared" si="3"/>
        <v>1521081.1576331225</v>
      </c>
    </row>
    <row r="14" spans="1:26" ht="19.95" customHeight="1" x14ac:dyDescent="0.3">
      <c r="A14" s="21" t="s">
        <v>95</v>
      </c>
      <c r="C14" s="26" t="s">
        <v>29</v>
      </c>
      <c r="D14" s="27">
        <v>7520.4275500033864</v>
      </c>
      <c r="E14" s="28">
        <v>662716.35292544111</v>
      </c>
      <c r="F14" s="28">
        <v>1521056.9279018878</v>
      </c>
      <c r="G14" s="26" t="s">
        <v>94</v>
      </c>
      <c r="H14" s="29">
        <v>194.04234237090765</v>
      </c>
      <c r="X14" s="29">
        <f t="shared" si="1"/>
        <v>7520.4275500033864</v>
      </c>
      <c r="Y14" s="29">
        <f t="shared" si="2"/>
        <v>662716.35292544111</v>
      </c>
      <c r="Z14" s="29">
        <f t="shared" si="3"/>
        <v>1521056.9279018878</v>
      </c>
    </row>
    <row r="15" spans="1:26" ht="19.95" customHeight="1" x14ac:dyDescent="0.3">
      <c r="A15" s="21" t="s">
        <v>98</v>
      </c>
      <c r="B15" s="26" t="s">
        <v>10</v>
      </c>
      <c r="C15" s="26" t="s">
        <v>82</v>
      </c>
      <c r="D15" s="27">
        <v>7533.2946758448043</v>
      </c>
      <c r="E15" s="28">
        <v>662713.11410000001</v>
      </c>
      <c r="F15" s="28">
        <v>1521044.4749</v>
      </c>
      <c r="I15" s="26" t="s">
        <v>88</v>
      </c>
      <c r="J15" s="29">
        <v>194.36788655481212</v>
      </c>
      <c r="K15" s="26" t="s">
        <v>96</v>
      </c>
      <c r="L15" s="29">
        <v>1.3212343677571425</v>
      </c>
      <c r="M15" s="26" t="s">
        <v>97</v>
      </c>
      <c r="N15" s="29">
        <v>2200</v>
      </c>
      <c r="O15" s="29">
        <v>25</v>
      </c>
      <c r="P15" s="29">
        <v>25.731757404322234</v>
      </c>
      <c r="Q15" s="29">
        <v>25</v>
      </c>
      <c r="X15" s="29">
        <f t="shared" si="1"/>
        <v>7533.2946758448043</v>
      </c>
      <c r="Y15" s="29">
        <f t="shared" si="2"/>
        <v>662713.11410000001</v>
      </c>
      <c r="Z15" s="29">
        <f t="shared" si="3"/>
        <v>1521044.4749</v>
      </c>
    </row>
    <row r="16" spans="1:26" ht="19.95" customHeight="1" x14ac:dyDescent="0.3">
      <c r="A16" s="21" t="s">
        <v>100</v>
      </c>
      <c r="C16" s="26" t="s">
        <v>30</v>
      </c>
      <c r="D16" s="27">
        <v>7546.1593074077082</v>
      </c>
      <c r="E16" s="28">
        <v>662710.25552736293</v>
      </c>
      <c r="F16" s="28">
        <v>1521031.9291513695</v>
      </c>
      <c r="G16" s="26" t="s">
        <v>99</v>
      </c>
      <c r="H16" s="29">
        <v>193.37219637095944</v>
      </c>
      <c r="X16" s="29">
        <f t="shared" si="1"/>
        <v>7546.1593074077082</v>
      </c>
      <c r="Y16" s="29">
        <f t="shared" si="2"/>
        <v>662710.25552736293</v>
      </c>
      <c r="Z16" s="29">
        <f t="shared" si="3"/>
        <v>1521031.9291513695</v>
      </c>
    </row>
    <row r="17" spans="1:26" ht="19.95" customHeight="1" x14ac:dyDescent="0.3">
      <c r="A17" s="21" t="s">
        <v>102</v>
      </c>
      <c r="C17" s="26" t="s">
        <v>31</v>
      </c>
      <c r="D17" s="27">
        <v>7571.1593074077082</v>
      </c>
      <c r="E17" s="28">
        <v>662704.56581143581</v>
      </c>
      <c r="F17" s="28">
        <v>1521007.5852539986</v>
      </c>
      <c r="G17" s="26" t="s">
        <v>101</v>
      </c>
      <c r="H17" s="29">
        <v>193.04665218705497</v>
      </c>
      <c r="X17" s="29">
        <f t="shared" si="1"/>
        <v>7571.1593074077082</v>
      </c>
      <c r="Y17" s="29">
        <f t="shared" si="2"/>
        <v>662704.56581143581</v>
      </c>
      <c r="Z17" s="29">
        <f t="shared" si="3"/>
        <v>1521007.5852539986</v>
      </c>
    </row>
    <row r="18" spans="1:26" ht="19.95" customHeight="1" x14ac:dyDescent="0.3">
      <c r="A18" s="21" t="s">
        <v>104</v>
      </c>
      <c r="C18" s="26" t="s">
        <v>28</v>
      </c>
      <c r="D18" s="27">
        <v>7682.3558307983403</v>
      </c>
      <c r="E18" s="28">
        <v>662679.4638207017</v>
      </c>
      <c r="F18" s="28">
        <v>1520899.2590942986</v>
      </c>
      <c r="G18" s="26" t="s">
        <v>101</v>
      </c>
      <c r="H18" s="29">
        <v>193.04665218705497</v>
      </c>
      <c r="X18" s="29">
        <f t="shared" si="1"/>
        <v>7682.3558307983403</v>
      </c>
      <c r="Y18" s="29">
        <f t="shared" si="2"/>
        <v>662679.4638207017</v>
      </c>
      <c r="Z18" s="29">
        <f t="shared" si="3"/>
        <v>1520899.2590942986</v>
      </c>
    </row>
    <row r="19" spans="1:26" ht="19.95" customHeight="1" x14ac:dyDescent="0.3">
      <c r="A19" s="21" t="s">
        <v>106</v>
      </c>
      <c r="C19" s="26" t="s">
        <v>29</v>
      </c>
      <c r="D19" s="27">
        <v>7707.3558307983403</v>
      </c>
      <c r="E19" s="28">
        <v>662673.77610870101</v>
      </c>
      <c r="F19" s="28">
        <v>1520874.9147255186</v>
      </c>
      <c r="G19" s="26" t="s">
        <v>105</v>
      </c>
      <c r="H19" s="29">
        <v>193.35804227600707</v>
      </c>
      <c r="X19" s="29">
        <f t="shared" si="1"/>
        <v>7707.3558307983403</v>
      </c>
      <c r="Y19" s="29">
        <f t="shared" si="2"/>
        <v>662673.77610870101</v>
      </c>
      <c r="Z19" s="29">
        <f t="shared" si="3"/>
        <v>1520874.9147255186</v>
      </c>
    </row>
    <row r="20" spans="1:26" ht="19.95" customHeight="1" x14ac:dyDescent="0.3">
      <c r="A20" s="21" t="s">
        <v>108</v>
      </c>
      <c r="B20" s="26" t="s">
        <v>11</v>
      </c>
      <c r="C20" s="26" t="s">
        <v>82</v>
      </c>
      <c r="D20" s="27">
        <v>7724.8012872866975</v>
      </c>
      <c r="E20" s="28">
        <v>662669.88199999998</v>
      </c>
      <c r="F20" s="28">
        <v>1520857.9092999999</v>
      </c>
      <c r="I20" s="26" t="s">
        <v>101</v>
      </c>
      <c r="J20" s="29">
        <v>193.04665218705497</v>
      </c>
      <c r="K20" s="26" t="s">
        <v>107</v>
      </c>
      <c r="L20" s="29">
        <v>1.4918640067785134</v>
      </c>
      <c r="M20" s="26" t="s">
        <v>84</v>
      </c>
      <c r="N20" s="29">
        <v>2300</v>
      </c>
      <c r="O20" s="29">
        <v>25</v>
      </c>
      <c r="P20" s="29">
        <v>34.887259029735468</v>
      </c>
      <c r="Q20" s="29">
        <v>25</v>
      </c>
      <c r="X20" s="29">
        <f t="shared" si="1"/>
        <v>7724.8012872866975</v>
      </c>
      <c r="Y20" s="29">
        <f t="shared" si="2"/>
        <v>662669.88199999998</v>
      </c>
      <c r="Z20" s="29">
        <f t="shared" si="3"/>
        <v>1520857.9092999999</v>
      </c>
    </row>
    <row r="21" spans="1:26" ht="19.95" customHeight="1" x14ac:dyDescent="0.3">
      <c r="A21" s="21" t="s">
        <v>110</v>
      </c>
      <c r="C21" s="26" t="s">
        <v>30</v>
      </c>
      <c r="D21" s="27">
        <v>7742.2430898280754</v>
      </c>
      <c r="E21" s="28">
        <v>662665.45879599813</v>
      </c>
      <c r="F21" s="28">
        <v>1520841.0337601257</v>
      </c>
      <c r="G21" s="26" t="s">
        <v>109</v>
      </c>
      <c r="H21" s="29">
        <v>194.22712610488139</v>
      </c>
      <c r="X21" s="29">
        <f t="shared" si="1"/>
        <v>7742.2430898280754</v>
      </c>
      <c r="Y21" s="29">
        <f t="shared" si="2"/>
        <v>662665.45879599813</v>
      </c>
      <c r="Z21" s="29">
        <f t="shared" si="3"/>
        <v>1520841.0337601257</v>
      </c>
    </row>
    <row r="22" spans="1:26" ht="19.95" customHeight="1" x14ac:dyDescent="0.3">
      <c r="A22" s="21" t="s">
        <v>112</v>
      </c>
      <c r="C22" s="26" t="s">
        <v>31</v>
      </c>
      <c r="D22" s="27">
        <v>7767.2430898280754</v>
      </c>
      <c r="E22" s="28">
        <v>662659.22688547324</v>
      </c>
      <c r="F22" s="28">
        <v>1520816.822984627</v>
      </c>
      <c r="G22" s="26" t="s">
        <v>111</v>
      </c>
      <c r="H22" s="29">
        <v>194.53851619383349</v>
      </c>
      <c r="X22" s="29">
        <f t="shared" si="1"/>
        <v>7767.2430898280754</v>
      </c>
      <c r="Y22" s="29">
        <f t="shared" si="2"/>
        <v>662659.22688547324</v>
      </c>
      <c r="Z22" s="29">
        <f t="shared" si="3"/>
        <v>1520816.822984627</v>
      </c>
    </row>
    <row r="23" spans="1:26" ht="19.95" customHeight="1" x14ac:dyDescent="0.3">
      <c r="A23" s="21" t="s">
        <v>115</v>
      </c>
      <c r="C23" s="26" t="s">
        <v>28</v>
      </c>
      <c r="D23" s="27">
        <v>7805.1378543969158</v>
      </c>
      <c r="E23" s="28">
        <v>662649.71412950312</v>
      </c>
      <c r="F23" s="28">
        <v>1520780.1416452897</v>
      </c>
      <c r="G23" s="26" t="s">
        <v>111</v>
      </c>
      <c r="H23" s="29">
        <v>194.53851619383349</v>
      </c>
      <c r="X23" s="29">
        <f t="shared" si="1"/>
        <v>7805.1378543969158</v>
      </c>
      <c r="Y23" s="29">
        <f t="shared" si="2"/>
        <v>662649.71412950312</v>
      </c>
      <c r="Z23" s="29">
        <f t="shared" si="3"/>
        <v>1520780.1416452897</v>
      </c>
    </row>
    <row r="24" spans="1:26" ht="19.95" customHeight="1" x14ac:dyDescent="0.3">
      <c r="A24" s="21" t="s">
        <v>117</v>
      </c>
      <c r="C24" s="26" t="s">
        <v>29</v>
      </c>
      <c r="D24" s="27">
        <v>7830.1378543969158</v>
      </c>
      <c r="E24" s="28">
        <v>662643.48039082543</v>
      </c>
      <c r="F24" s="28">
        <v>1520755.9313376702</v>
      </c>
      <c r="G24" s="26" t="s">
        <v>116</v>
      </c>
      <c r="H24" s="29">
        <v>194.24010069192104</v>
      </c>
      <c r="X24" s="29">
        <f t="shared" si="1"/>
        <v>7830.1378543969158</v>
      </c>
      <c r="Y24" s="29">
        <f t="shared" si="2"/>
        <v>662643.48039082543</v>
      </c>
      <c r="Z24" s="29">
        <f t="shared" si="3"/>
        <v>1520755.9313376702</v>
      </c>
    </row>
    <row r="25" spans="1:26" ht="19.95" customHeight="1" x14ac:dyDescent="0.3">
      <c r="A25" s="21" t="s">
        <v>119</v>
      </c>
      <c r="B25" s="26" t="s">
        <v>12</v>
      </c>
      <c r="C25" s="26" t="s">
        <v>82</v>
      </c>
      <c r="D25" s="27">
        <v>7853.7539294753187</v>
      </c>
      <c r="E25" s="28">
        <v>662637.51</v>
      </c>
      <c r="F25" s="28">
        <v>1520733.0822999999</v>
      </c>
      <c r="I25" s="26" t="s">
        <v>111</v>
      </c>
      <c r="J25" s="29">
        <v>194.53851619383349</v>
      </c>
      <c r="K25" s="26" t="s">
        <v>118</v>
      </c>
      <c r="L25" s="29">
        <v>1.724278171720897</v>
      </c>
      <c r="M25" s="26" t="s">
        <v>97</v>
      </c>
      <c r="N25" s="29">
        <v>2400</v>
      </c>
      <c r="O25" s="29">
        <v>25</v>
      </c>
      <c r="P25" s="29">
        <v>47.226394600822651</v>
      </c>
      <c r="Q25" s="29">
        <v>25</v>
      </c>
      <c r="X25" s="29">
        <f t="shared" si="1"/>
        <v>7853.7539294753187</v>
      </c>
      <c r="Y25" s="29">
        <f t="shared" si="2"/>
        <v>662637.51</v>
      </c>
      <c r="Z25" s="29">
        <f t="shared" si="3"/>
        <v>1520733.0822999999</v>
      </c>
    </row>
    <row r="26" spans="1:26" ht="19.95" customHeight="1" x14ac:dyDescent="0.3">
      <c r="A26" s="21" t="s">
        <v>121</v>
      </c>
      <c r="C26" s="26" t="s">
        <v>30</v>
      </c>
      <c r="D26" s="27">
        <v>7877.3642489977383</v>
      </c>
      <c r="E26" s="28">
        <v>662632.31447872112</v>
      </c>
      <c r="F26" s="28">
        <v>1520710.0447079458</v>
      </c>
      <c r="G26" s="26" t="s">
        <v>120</v>
      </c>
      <c r="H26" s="29">
        <v>193.11265352402503</v>
      </c>
      <c r="X26" s="29">
        <f t="shared" si="1"/>
        <v>7877.3642489977383</v>
      </c>
      <c r="Y26" s="29">
        <f t="shared" si="2"/>
        <v>662632.31447872112</v>
      </c>
      <c r="Z26" s="29">
        <f t="shared" si="3"/>
        <v>1520710.0447079458</v>
      </c>
    </row>
    <row r="27" spans="1:26" ht="19.95" customHeight="1" x14ac:dyDescent="0.3">
      <c r="A27" s="21" t="s">
        <v>123</v>
      </c>
      <c r="C27" s="26" t="s">
        <v>31</v>
      </c>
      <c r="D27" s="27">
        <v>7902.3642489977383</v>
      </c>
      <c r="E27" s="28">
        <v>662626.72740228579</v>
      </c>
      <c r="F27" s="28">
        <v>1520685.6770435134</v>
      </c>
      <c r="G27" s="26" t="s">
        <v>122</v>
      </c>
      <c r="H27" s="29">
        <v>192.81423802211259</v>
      </c>
      <c r="X27" s="29">
        <f t="shared" si="1"/>
        <v>7902.3642489977383</v>
      </c>
      <c r="Y27" s="29">
        <f t="shared" si="2"/>
        <v>662626.72740228579</v>
      </c>
      <c r="Z27" s="29">
        <f t="shared" si="3"/>
        <v>1520685.6770435134</v>
      </c>
    </row>
    <row r="28" spans="1:26" ht="19.95" customHeight="1" x14ac:dyDescent="0.3">
      <c r="A28" s="21" t="s">
        <v>127</v>
      </c>
      <c r="C28" s="26" t="s">
        <v>28</v>
      </c>
      <c r="D28" s="27">
        <v>7961.3372717660222</v>
      </c>
      <c r="E28" s="28">
        <v>662613.64772385778</v>
      </c>
      <c r="F28" s="28">
        <v>1520628.1727877869</v>
      </c>
      <c r="G28" s="26" t="s">
        <v>122</v>
      </c>
      <c r="H28" s="29">
        <v>192.81423802211259</v>
      </c>
      <c r="X28" s="29">
        <f t="shared" si="1"/>
        <v>7961.3372717660222</v>
      </c>
      <c r="Y28" s="29">
        <f t="shared" si="2"/>
        <v>662613.64772385778</v>
      </c>
      <c r="Z28" s="29">
        <f t="shared" si="3"/>
        <v>1520628.1727877869</v>
      </c>
    </row>
    <row r="29" spans="1:26" ht="19.95" customHeight="1" x14ac:dyDescent="0.3">
      <c r="A29" s="21" t="s">
        <v>129</v>
      </c>
      <c r="C29" s="26" t="s">
        <v>29</v>
      </c>
      <c r="D29" s="27">
        <v>7979.3372717660222</v>
      </c>
      <c r="E29" s="28">
        <v>662609.4113123857</v>
      </c>
      <c r="F29" s="28">
        <v>1520610.6798647859</v>
      </c>
      <c r="G29" s="26" t="s">
        <v>128</v>
      </c>
      <c r="H29" s="29">
        <v>195.21266587004138</v>
      </c>
      <c r="X29" s="29">
        <f t="shared" si="1"/>
        <v>7979.3372717660222</v>
      </c>
      <c r="Y29" s="29">
        <f t="shared" si="2"/>
        <v>662609.4113123857</v>
      </c>
      <c r="Z29" s="29">
        <f t="shared" si="3"/>
        <v>1520610.6798647859</v>
      </c>
    </row>
    <row r="30" spans="1:26" ht="19.95" customHeight="1" x14ac:dyDescent="0.3">
      <c r="A30" s="21" t="s">
        <v>131</v>
      </c>
      <c r="B30" s="26" t="s">
        <v>13</v>
      </c>
      <c r="C30" s="26" t="s">
        <v>82</v>
      </c>
      <c r="D30" s="27">
        <v>7990.141551007775</v>
      </c>
      <c r="E30" s="28">
        <v>662607.25919999997</v>
      </c>
      <c r="F30" s="28">
        <v>1520600.0859000001</v>
      </c>
      <c r="I30" s="26" t="s">
        <v>122</v>
      </c>
      <c r="J30" s="29">
        <v>192.81423802211259</v>
      </c>
      <c r="K30" s="26" t="s">
        <v>130</v>
      </c>
      <c r="L30" s="29">
        <v>10.522883724865494</v>
      </c>
      <c r="M30" s="26" t="s">
        <v>84</v>
      </c>
      <c r="N30" s="29">
        <v>215</v>
      </c>
      <c r="O30" s="29">
        <v>18</v>
      </c>
      <c r="P30" s="29">
        <v>21.486677771858723</v>
      </c>
      <c r="Q30" s="29">
        <v>18</v>
      </c>
      <c r="X30" s="29">
        <f t="shared" si="1"/>
        <v>7990.141551007775</v>
      </c>
      <c r="Y30" s="29">
        <f t="shared" si="2"/>
        <v>662607.25919999997</v>
      </c>
      <c r="Z30" s="29">
        <f t="shared" si="3"/>
        <v>1520600.0859000001</v>
      </c>
    </row>
    <row r="31" spans="1:26" ht="19.95" customHeight="1" x14ac:dyDescent="0.3">
      <c r="A31" s="21" t="s">
        <v>133</v>
      </c>
      <c r="C31" s="26" t="s">
        <v>30</v>
      </c>
      <c r="D31" s="27">
        <v>8000.8239495378812</v>
      </c>
      <c r="E31" s="28">
        <v>662602.74735226808</v>
      </c>
      <c r="F31" s="28">
        <v>1520590.2621070575</v>
      </c>
      <c r="G31" s="26" t="s">
        <v>132</v>
      </c>
      <c r="H31" s="29">
        <v>200.9386938990493</v>
      </c>
      <c r="X31" s="29">
        <f t="shared" si="1"/>
        <v>8000.8239495378812</v>
      </c>
      <c r="Y31" s="29">
        <f t="shared" si="2"/>
        <v>662602.74735226808</v>
      </c>
      <c r="Z31" s="29">
        <f t="shared" si="3"/>
        <v>1520590.2621070575</v>
      </c>
    </row>
    <row r="32" spans="1:26" ht="19.95" customHeight="1" x14ac:dyDescent="0.3">
      <c r="A32" s="21" t="s">
        <v>135</v>
      </c>
      <c r="C32" s="26" t="s">
        <v>31</v>
      </c>
      <c r="D32" s="27">
        <v>8018.8239495378812</v>
      </c>
      <c r="E32" s="28">
        <v>662595.8486597829</v>
      </c>
      <c r="F32" s="28">
        <v>1520573.63810095</v>
      </c>
      <c r="G32" s="26" t="s">
        <v>134</v>
      </c>
      <c r="H32" s="29">
        <v>203.33712174697808</v>
      </c>
      <c r="X32" s="29">
        <f t="shared" si="1"/>
        <v>8018.8239495378812</v>
      </c>
      <c r="Y32" s="29">
        <f t="shared" si="2"/>
        <v>662595.8486597829</v>
      </c>
      <c r="Z32" s="29">
        <f t="shared" si="3"/>
        <v>1520573.63810095</v>
      </c>
    </row>
    <row r="33" spans="1:26" ht="19.95" customHeight="1" x14ac:dyDescent="0.3">
      <c r="A33" s="21" t="s">
        <v>140</v>
      </c>
      <c r="C33" s="26" t="s">
        <v>28</v>
      </c>
      <c r="D33" s="27">
        <v>8018.8240018921424</v>
      </c>
      <c r="E33" s="28">
        <v>662595.8486364783</v>
      </c>
      <c r="F33" s="28">
        <v>1520573.6380539855</v>
      </c>
      <c r="G33" s="26" t="s">
        <v>134</v>
      </c>
      <c r="H33" s="29">
        <v>203.33712174697808</v>
      </c>
      <c r="X33" s="29">
        <f t="shared" si="1"/>
        <v>8018.8240018921424</v>
      </c>
      <c r="Y33" s="29">
        <f t="shared" si="2"/>
        <v>662595.8486364783</v>
      </c>
      <c r="Z33" s="29">
        <f t="shared" si="3"/>
        <v>1520573.6380539855</v>
      </c>
    </row>
    <row r="34" spans="1:26" ht="19.95" customHeight="1" x14ac:dyDescent="0.3">
      <c r="A34" s="21" t="s">
        <v>141</v>
      </c>
      <c r="C34" s="26" t="s">
        <v>29</v>
      </c>
      <c r="D34" s="27">
        <v>8036.8240018921424</v>
      </c>
      <c r="E34" s="28">
        <v>662588.94994399312</v>
      </c>
      <c r="F34" s="28">
        <v>1520557.0140478781</v>
      </c>
      <c r="G34" s="26" t="s">
        <v>132</v>
      </c>
      <c r="H34" s="29">
        <v>200.9386938990493</v>
      </c>
      <c r="X34" s="29">
        <f t="shared" si="1"/>
        <v>8036.8240018921424</v>
      </c>
      <c r="Y34" s="29">
        <f t="shared" si="2"/>
        <v>662588.94994399312</v>
      </c>
      <c r="Z34" s="29">
        <f t="shared" si="3"/>
        <v>1520557.0140478781</v>
      </c>
    </row>
    <row r="35" spans="1:26" ht="19.95" customHeight="1" x14ac:dyDescent="0.3">
      <c r="A35" s="21" t="s">
        <v>143</v>
      </c>
      <c r="B35" s="26" t="s">
        <v>14</v>
      </c>
      <c r="C35" s="26" t="s">
        <v>82</v>
      </c>
      <c r="D35" s="27">
        <v>8046.0538301163288</v>
      </c>
      <c r="E35" s="28">
        <v>662585.06180000002</v>
      </c>
      <c r="F35" s="28">
        <v>1520548.6359000001</v>
      </c>
      <c r="I35" s="26" t="s">
        <v>134</v>
      </c>
      <c r="J35" s="29">
        <v>203.33712174697808</v>
      </c>
      <c r="K35" s="26" t="s">
        <v>142</v>
      </c>
      <c r="L35" s="29">
        <v>9.6904840787978799</v>
      </c>
      <c r="M35" s="26" t="s">
        <v>97</v>
      </c>
      <c r="N35" s="29">
        <v>215</v>
      </c>
      <c r="O35" s="29">
        <v>18</v>
      </c>
      <c r="P35" s="29">
        <v>18.363133175047047</v>
      </c>
      <c r="Q35" s="29">
        <v>18</v>
      </c>
      <c r="X35" s="29">
        <f t="shared" si="1"/>
        <v>8046.0538301163288</v>
      </c>
      <c r="Y35" s="29">
        <f t="shared" si="2"/>
        <v>662585.06180000002</v>
      </c>
      <c r="Z35" s="29">
        <f t="shared" si="3"/>
        <v>1520548.6359000001</v>
      </c>
    </row>
    <row r="36" spans="1:26" ht="19.95" customHeight="1" x14ac:dyDescent="0.3">
      <c r="A36" s="21" t="s">
        <v>145</v>
      </c>
      <c r="C36" s="26" t="s">
        <v>30</v>
      </c>
      <c r="D36" s="27">
        <v>8055.187135067189</v>
      </c>
      <c r="E36" s="28">
        <v>662583.12747502641</v>
      </c>
      <c r="F36" s="28">
        <v>1520539.6043213806</v>
      </c>
      <c r="G36" s="26" t="s">
        <v>144</v>
      </c>
      <c r="H36" s="29">
        <v>196.04506551610899</v>
      </c>
      <c r="X36" s="29">
        <f t="shared" si="1"/>
        <v>8055.187135067189</v>
      </c>
      <c r="Y36" s="29">
        <f t="shared" si="2"/>
        <v>662583.12747502641</v>
      </c>
      <c r="Z36" s="29">
        <f t="shared" si="3"/>
        <v>1520539.6043213806</v>
      </c>
    </row>
    <row r="37" spans="1:26" ht="19.95" customHeight="1" x14ac:dyDescent="0.3">
      <c r="A37" s="21" t="s">
        <v>147</v>
      </c>
      <c r="C37" s="26" t="s">
        <v>31</v>
      </c>
      <c r="D37" s="27">
        <v>8073.187135067189</v>
      </c>
      <c r="E37" s="28">
        <v>662578.63738038123</v>
      </c>
      <c r="F37" s="28">
        <v>1520522.1747893342</v>
      </c>
      <c r="G37" s="26" t="s">
        <v>146</v>
      </c>
      <c r="H37" s="29">
        <v>193.6466376681802</v>
      </c>
      <c r="X37" s="29">
        <f t="shared" si="1"/>
        <v>8073.187135067189</v>
      </c>
      <c r="Y37" s="29">
        <f t="shared" si="2"/>
        <v>662578.63738038123</v>
      </c>
      <c r="Z37" s="29">
        <f t="shared" si="3"/>
        <v>1520522.1747893342</v>
      </c>
    </row>
    <row r="38" spans="1:26" ht="19.95" customHeight="1" x14ac:dyDescent="0.3">
      <c r="A38" s="21" t="s">
        <v>152</v>
      </c>
      <c r="C38" s="26" t="s">
        <v>32</v>
      </c>
      <c r="D38" s="27">
        <v>8275.8468033955614</v>
      </c>
      <c r="E38" s="28">
        <v>662530.82323342899</v>
      </c>
      <c r="F38" s="28">
        <v>1520325.2363509373</v>
      </c>
      <c r="G38" s="26" t="s">
        <v>146</v>
      </c>
      <c r="H38" s="29">
        <v>193.6466376681802</v>
      </c>
      <c r="X38" s="29">
        <f t="shared" si="1"/>
        <v>8275.8468033955614</v>
      </c>
      <c r="Y38" s="29">
        <f t="shared" si="2"/>
        <v>662530.82323342899</v>
      </c>
      <c r="Z38" s="29">
        <f t="shared" si="3"/>
        <v>1520325.2363509373</v>
      </c>
    </row>
    <row r="39" spans="1:26" ht="19.95" customHeight="1" x14ac:dyDescent="0.3">
      <c r="A39" s="21" t="s">
        <v>154</v>
      </c>
      <c r="B39" s="26" t="s">
        <v>15</v>
      </c>
      <c r="C39" s="26" t="s">
        <v>82</v>
      </c>
      <c r="D39" s="27">
        <v>8295.3219517221114</v>
      </c>
      <c r="E39" s="28">
        <v>662526.22840000002</v>
      </c>
      <c r="F39" s="28">
        <v>1520306.311</v>
      </c>
      <c r="I39" s="26" t="s">
        <v>146</v>
      </c>
      <c r="J39" s="29">
        <v>193.6466376681802</v>
      </c>
      <c r="K39" s="26" t="s">
        <v>153</v>
      </c>
      <c r="L39" s="29">
        <v>2.9749149819511445</v>
      </c>
      <c r="M39" s="26" t="s">
        <v>97</v>
      </c>
      <c r="N39" s="29">
        <v>750</v>
      </c>
      <c r="O39" s="29">
        <v>0</v>
      </c>
      <c r="P39" s="29">
        <v>38.941545749810871</v>
      </c>
      <c r="Q39" s="29">
        <v>0</v>
      </c>
      <c r="X39" s="29">
        <f t="shared" si="1"/>
        <v>8295.3219517221114</v>
      </c>
      <c r="Y39" s="29">
        <f t="shared" si="2"/>
        <v>662526.22840000002</v>
      </c>
      <c r="Z39" s="29">
        <f t="shared" si="3"/>
        <v>1520306.311</v>
      </c>
    </row>
    <row r="40" spans="1:26" ht="19.95" customHeight="1" x14ac:dyDescent="0.3">
      <c r="A40" s="21" t="s">
        <v>156</v>
      </c>
      <c r="C40" s="26" t="s">
        <v>38</v>
      </c>
      <c r="D40" s="27">
        <v>8314.7883491453722</v>
      </c>
      <c r="E40" s="28">
        <v>662522.62196055369</v>
      </c>
      <c r="F40" s="28">
        <v>1520287.1726877217</v>
      </c>
      <c r="G40" s="26" t="s">
        <v>155</v>
      </c>
      <c r="H40" s="29">
        <v>190.67172268622906</v>
      </c>
      <c r="X40" s="29">
        <f t="shared" si="1"/>
        <v>8314.7883491453722</v>
      </c>
      <c r="Y40" s="29">
        <f t="shared" si="2"/>
        <v>662522.62196055369</v>
      </c>
      <c r="Z40" s="29">
        <f t="shared" si="3"/>
        <v>1520287.1726877217</v>
      </c>
    </row>
    <row r="41" spans="1:26" ht="19.95" customHeight="1" x14ac:dyDescent="0.3">
      <c r="A41" s="21" t="s">
        <v>159</v>
      </c>
      <c r="C41" s="26" t="s">
        <v>28</v>
      </c>
      <c r="D41" s="27">
        <v>8370.0670298726436</v>
      </c>
      <c r="E41" s="28">
        <v>662512.38536128891</v>
      </c>
      <c r="F41" s="28">
        <v>1520232.8500904122</v>
      </c>
      <c r="G41" s="26" t="s">
        <v>155</v>
      </c>
      <c r="H41" s="29">
        <v>190.67172268622906</v>
      </c>
      <c r="X41" s="29">
        <f t="shared" si="1"/>
        <v>8370.0670298726436</v>
      </c>
      <c r="Y41" s="29">
        <f t="shared" si="2"/>
        <v>662512.38536128891</v>
      </c>
      <c r="Z41" s="29">
        <f t="shared" si="3"/>
        <v>1520232.8500904122</v>
      </c>
    </row>
    <row r="42" spans="1:26" ht="19.95" customHeight="1" x14ac:dyDescent="0.3">
      <c r="A42" s="21" t="s">
        <v>161</v>
      </c>
      <c r="C42" s="26" t="s">
        <v>29</v>
      </c>
      <c r="D42" s="27">
        <v>8390.0670298726436</v>
      </c>
      <c r="E42" s="28">
        <v>662508.57616014127</v>
      </c>
      <c r="F42" s="28">
        <v>1520213.216427047</v>
      </c>
      <c r="G42" s="26" t="s">
        <v>160</v>
      </c>
      <c r="H42" s="29">
        <v>191.59584811150629</v>
      </c>
      <c r="X42" s="29">
        <f t="shared" si="1"/>
        <v>8390.0670298726436</v>
      </c>
      <c r="Y42" s="29">
        <f t="shared" si="2"/>
        <v>662508.57616014127</v>
      </c>
      <c r="Z42" s="29">
        <f t="shared" si="3"/>
        <v>1520213.216427047</v>
      </c>
    </row>
    <row r="43" spans="1:26" ht="19.95" customHeight="1" x14ac:dyDescent="0.3">
      <c r="A43" s="21" t="s">
        <v>163</v>
      </c>
      <c r="B43" s="26" t="s">
        <v>16</v>
      </c>
      <c r="C43" s="26" t="s">
        <v>82</v>
      </c>
      <c r="D43" s="27">
        <v>8403.1780989351755</v>
      </c>
      <c r="E43" s="28">
        <v>662506.25379999995</v>
      </c>
      <c r="F43" s="28">
        <v>1520200.3117</v>
      </c>
      <c r="I43" s="26" t="s">
        <v>155</v>
      </c>
      <c r="J43" s="29">
        <v>190.67172268622906</v>
      </c>
      <c r="K43" s="26" t="s">
        <v>162</v>
      </c>
      <c r="L43" s="29">
        <v>4.2693598785781148</v>
      </c>
      <c r="M43" s="26" t="s">
        <v>84</v>
      </c>
      <c r="N43" s="29">
        <v>620</v>
      </c>
      <c r="O43" s="29">
        <v>20</v>
      </c>
      <c r="P43" s="29">
        <v>26.198919479040946</v>
      </c>
      <c r="Q43" s="29">
        <v>20</v>
      </c>
      <c r="X43" s="29">
        <f t="shared" si="1"/>
        <v>8403.1780989351755</v>
      </c>
      <c r="Y43" s="29">
        <f t="shared" si="2"/>
        <v>662506.25379999995</v>
      </c>
      <c r="Z43" s="29">
        <f t="shared" si="3"/>
        <v>1520200.3117</v>
      </c>
    </row>
    <row r="44" spans="1:26" ht="19.95" customHeight="1" x14ac:dyDescent="0.3">
      <c r="A44" s="21" t="s">
        <v>165</v>
      </c>
      <c r="C44" s="26" t="s">
        <v>30</v>
      </c>
      <c r="D44" s="27">
        <v>8416.265949351684</v>
      </c>
      <c r="E44" s="28">
        <v>662502.7694067437</v>
      </c>
      <c r="F44" s="28">
        <v>1520187.6711169244</v>
      </c>
      <c r="G44" s="26" t="s">
        <v>164</v>
      </c>
      <c r="H44" s="29">
        <v>194.01695713952995</v>
      </c>
      <c r="X44" s="29">
        <f t="shared" si="1"/>
        <v>8416.265949351684</v>
      </c>
      <c r="Y44" s="29">
        <f t="shared" si="2"/>
        <v>662502.7694067437</v>
      </c>
      <c r="Z44" s="29">
        <f t="shared" si="3"/>
        <v>1520187.6711169244</v>
      </c>
    </row>
    <row r="45" spans="1:26" ht="19.95" customHeight="1" x14ac:dyDescent="0.3">
      <c r="A45" s="21" t="s">
        <v>167</v>
      </c>
      <c r="C45" s="26" t="s">
        <v>31</v>
      </c>
      <c r="D45" s="27">
        <v>8436.265949351684</v>
      </c>
      <c r="E45" s="28">
        <v>662497.71691814542</v>
      </c>
      <c r="F45" s="28">
        <v>1520168.3200676148</v>
      </c>
      <c r="G45" s="26" t="s">
        <v>166</v>
      </c>
      <c r="H45" s="29">
        <v>194.94108256480718</v>
      </c>
      <c r="X45" s="29">
        <f t="shared" si="1"/>
        <v>8436.265949351684</v>
      </c>
      <c r="Y45" s="29">
        <f t="shared" si="2"/>
        <v>662497.71691814542</v>
      </c>
      <c r="Z45" s="29">
        <f t="shared" si="3"/>
        <v>1520168.3200676148</v>
      </c>
    </row>
    <row r="46" spans="1:26" ht="19.95" customHeight="1" x14ac:dyDescent="0.3">
      <c r="A46" s="21" t="s">
        <v>172</v>
      </c>
      <c r="C46" s="26" t="s">
        <v>28</v>
      </c>
      <c r="D46" s="27">
        <v>8509.0428849791551</v>
      </c>
      <c r="E46" s="28">
        <v>662478.95315304922</v>
      </c>
      <c r="F46" s="28">
        <v>1520098.0036152103</v>
      </c>
      <c r="G46" s="26" t="s">
        <v>166</v>
      </c>
      <c r="H46" s="29">
        <v>194.94108256480718</v>
      </c>
      <c r="X46" s="29">
        <f t="shared" si="1"/>
        <v>8509.0428849791551</v>
      </c>
      <c r="Y46" s="29">
        <f t="shared" si="2"/>
        <v>662478.95315304922</v>
      </c>
      <c r="Z46" s="29">
        <f t="shared" si="3"/>
        <v>1520098.0036152103</v>
      </c>
    </row>
    <row r="47" spans="1:26" ht="19.95" customHeight="1" x14ac:dyDescent="0.3">
      <c r="A47" s="21" t="s">
        <v>174</v>
      </c>
      <c r="C47" s="26" t="s">
        <v>29</v>
      </c>
      <c r="D47" s="27">
        <v>8559.0428849791551</v>
      </c>
      <c r="E47" s="28">
        <v>662464.43332740897</v>
      </c>
      <c r="F47" s="28">
        <v>1520050.1824720583</v>
      </c>
      <c r="G47" s="26" t="s">
        <v>173</v>
      </c>
      <c r="H47" s="29">
        <v>200.78759035737733</v>
      </c>
      <c r="X47" s="29">
        <f t="shared" si="1"/>
        <v>8559.0428849791551</v>
      </c>
      <c r="Y47" s="29">
        <f t="shared" si="2"/>
        <v>662464.43332740897</v>
      </c>
      <c r="Z47" s="29">
        <f t="shared" si="3"/>
        <v>1520050.1824720583</v>
      </c>
    </row>
    <row r="48" spans="1:26" ht="19.95" customHeight="1" x14ac:dyDescent="0.3">
      <c r="A48" s="21" t="s">
        <v>176</v>
      </c>
      <c r="B48" s="26" t="s">
        <v>1</v>
      </c>
      <c r="C48" s="26" t="s">
        <v>82</v>
      </c>
      <c r="D48" s="27">
        <v>8572.8354326550925</v>
      </c>
      <c r="E48" s="28">
        <v>662462.50580000004</v>
      </c>
      <c r="F48" s="28">
        <v>1520036.3677999999</v>
      </c>
      <c r="I48" s="26" t="s">
        <v>166</v>
      </c>
      <c r="J48" s="29">
        <v>194.94108256480718</v>
      </c>
      <c r="K48" s="26" t="s">
        <v>175</v>
      </c>
      <c r="L48" s="29">
        <v>17.967986785925689</v>
      </c>
      <c r="M48" s="26" t="s">
        <v>84</v>
      </c>
      <c r="N48" s="29">
        <v>245</v>
      </c>
      <c r="O48" s="29">
        <v>50</v>
      </c>
      <c r="P48" s="29">
        <v>26.832129100293162</v>
      </c>
      <c r="Q48" s="29">
        <v>50</v>
      </c>
      <c r="X48" s="29">
        <f t="shared" si="1"/>
        <v>8572.8354326550925</v>
      </c>
      <c r="Y48" s="29">
        <f t="shared" si="2"/>
        <v>662462.50580000004</v>
      </c>
      <c r="Z48" s="29">
        <f t="shared" si="3"/>
        <v>1520036.3677999999</v>
      </c>
    </row>
    <row r="49" spans="1:26" ht="19.95" customHeight="1" x14ac:dyDescent="0.3">
      <c r="A49" s="21" t="s">
        <v>178</v>
      </c>
      <c r="C49" s="26" t="s">
        <v>30</v>
      </c>
      <c r="D49" s="27">
        <v>8585.8750140794491</v>
      </c>
      <c r="E49" s="28">
        <v>662453.55721881823</v>
      </c>
      <c r="F49" s="28">
        <v>1520025.6681073885</v>
      </c>
      <c r="G49" s="26" t="s">
        <v>177</v>
      </c>
      <c r="H49" s="29">
        <v>207.06256155816271</v>
      </c>
      <c r="X49" s="29">
        <f t="shared" si="1"/>
        <v>8585.8750140794491</v>
      </c>
      <c r="Y49" s="29">
        <f t="shared" si="2"/>
        <v>662453.55721881823</v>
      </c>
      <c r="Z49" s="29">
        <f t="shared" si="3"/>
        <v>1520025.6681073885</v>
      </c>
    </row>
    <row r="50" spans="1:26" ht="19.95" customHeight="1" x14ac:dyDescent="0.3">
      <c r="A50" s="21" t="s">
        <v>180</v>
      </c>
      <c r="C50" s="26" t="s">
        <v>31</v>
      </c>
      <c r="D50" s="27">
        <v>8635.8750140794491</v>
      </c>
      <c r="E50" s="28">
        <v>662427.84684173099</v>
      </c>
      <c r="F50" s="28">
        <v>1519982.8117942612</v>
      </c>
      <c r="G50" s="26" t="s">
        <v>179</v>
      </c>
      <c r="H50" s="29">
        <v>212.90906935073286</v>
      </c>
      <c r="X50" s="29">
        <f t="shared" si="1"/>
        <v>8635.8750140794491</v>
      </c>
      <c r="Y50" s="29">
        <f t="shared" si="2"/>
        <v>662427.84684173099</v>
      </c>
      <c r="Z50" s="29">
        <f t="shared" si="3"/>
        <v>1519982.8117942612</v>
      </c>
    </row>
    <row r="51" spans="1:26" ht="19.95" customHeight="1" x14ac:dyDescent="0.3">
      <c r="A51" s="21" t="s">
        <v>185</v>
      </c>
      <c r="C51" s="26" t="s">
        <v>28</v>
      </c>
      <c r="D51" s="27">
        <v>8968.273435321109</v>
      </c>
      <c r="E51" s="28">
        <v>662247.25232190406</v>
      </c>
      <c r="F51" s="28">
        <v>1519703.7520697354</v>
      </c>
      <c r="G51" s="26" t="s">
        <v>179</v>
      </c>
      <c r="H51" s="29">
        <v>212.90906935073286</v>
      </c>
      <c r="X51" s="29">
        <f t="shared" si="1"/>
        <v>8968.273435321109</v>
      </c>
      <c r="Y51" s="29">
        <f t="shared" si="2"/>
        <v>662247.25232190406</v>
      </c>
      <c r="Z51" s="29">
        <f t="shared" si="3"/>
        <v>1519703.7520697354</v>
      </c>
    </row>
    <row r="52" spans="1:26" ht="19.95" customHeight="1" x14ac:dyDescent="0.3">
      <c r="A52" s="21" t="s">
        <v>187</v>
      </c>
      <c r="C52" s="26" t="s">
        <v>29</v>
      </c>
      <c r="D52" s="27">
        <v>9008.273435321109</v>
      </c>
      <c r="E52" s="28">
        <v>662226.33037904894</v>
      </c>
      <c r="F52" s="28">
        <v>1519669.6705964152</v>
      </c>
      <c r="G52" s="26" t="s">
        <v>186</v>
      </c>
      <c r="H52" s="29">
        <v>208.81651389593375</v>
      </c>
      <c r="X52" s="29">
        <f t="shared" si="1"/>
        <v>9008.273435321109</v>
      </c>
      <c r="Y52" s="29">
        <f t="shared" si="2"/>
        <v>662226.33037904894</v>
      </c>
      <c r="Z52" s="29">
        <f t="shared" si="3"/>
        <v>1519669.6705964152</v>
      </c>
    </row>
    <row r="53" spans="1:26" ht="19.95" customHeight="1" x14ac:dyDescent="0.3">
      <c r="A53" s="21" t="s">
        <v>189</v>
      </c>
      <c r="B53" s="26" t="s">
        <v>2</v>
      </c>
      <c r="C53" s="26" t="s">
        <v>82</v>
      </c>
      <c r="D53" s="27">
        <v>9038.1160830034969</v>
      </c>
      <c r="E53" s="28">
        <v>662209.30630000005</v>
      </c>
      <c r="F53" s="28">
        <v>1519645.1168</v>
      </c>
      <c r="I53" s="26" t="s">
        <v>179</v>
      </c>
      <c r="J53" s="29">
        <v>212.90906935073286</v>
      </c>
      <c r="K53" s="26" t="s">
        <v>188</v>
      </c>
      <c r="L53" s="29">
        <v>20.171482216584309</v>
      </c>
      <c r="M53" s="26" t="s">
        <v>97</v>
      </c>
      <c r="N53" s="29">
        <v>280</v>
      </c>
      <c r="O53" s="29">
        <v>40</v>
      </c>
      <c r="P53" s="29">
        <v>58.576457548717045</v>
      </c>
      <c r="Q53" s="29">
        <v>40</v>
      </c>
      <c r="X53" s="29">
        <f t="shared" si="1"/>
        <v>9038.1160830034969</v>
      </c>
      <c r="Y53" s="29">
        <f t="shared" si="2"/>
        <v>662209.30630000005</v>
      </c>
      <c r="Z53" s="29">
        <f t="shared" si="3"/>
        <v>1519645.1168</v>
      </c>
    </row>
    <row r="54" spans="1:26" ht="19.95" customHeight="1" x14ac:dyDescent="0.3">
      <c r="A54" s="21" t="s">
        <v>191</v>
      </c>
      <c r="C54" s="26" t="s">
        <v>30</v>
      </c>
      <c r="D54" s="27">
        <v>9066.8498928698264</v>
      </c>
      <c r="E54" s="28">
        <v>662203.65051680419</v>
      </c>
      <c r="F54" s="28">
        <v>1519615.7787649445</v>
      </c>
      <c r="G54" s="26" t="s">
        <v>190</v>
      </c>
      <c r="H54" s="29">
        <v>196.83014258894767</v>
      </c>
      <c r="X54" s="29">
        <f t="shared" si="1"/>
        <v>9066.8498928698264</v>
      </c>
      <c r="Y54" s="29">
        <f t="shared" si="2"/>
        <v>662203.65051680419</v>
      </c>
      <c r="Z54" s="29">
        <f t="shared" si="3"/>
        <v>1519615.7787649445</v>
      </c>
    </row>
    <row r="55" spans="1:26" ht="19.95" customHeight="1" x14ac:dyDescent="0.3">
      <c r="A55" s="21" t="s">
        <v>193</v>
      </c>
      <c r="C55" s="26" t="s">
        <v>31</v>
      </c>
      <c r="D55" s="27">
        <v>9106.8498928698264</v>
      </c>
      <c r="E55" s="28">
        <v>662193.90696692758</v>
      </c>
      <c r="F55" s="28">
        <v>1519576.9929717444</v>
      </c>
      <c r="G55" s="26" t="s">
        <v>192</v>
      </c>
      <c r="H55" s="29">
        <v>192.73758713414855</v>
      </c>
      <c r="X55" s="29">
        <f t="shared" si="1"/>
        <v>9106.8498928698264</v>
      </c>
      <c r="Y55" s="29">
        <f t="shared" si="2"/>
        <v>662193.90696692758</v>
      </c>
      <c r="Z55" s="29">
        <f t="shared" si="3"/>
        <v>1519576.9929717444</v>
      </c>
    </row>
    <row r="56" spans="1:26" ht="19.95" customHeight="1" x14ac:dyDescent="0.3">
      <c r="A56" s="21" t="s">
        <v>198</v>
      </c>
      <c r="C56" s="26" t="s">
        <v>28</v>
      </c>
      <c r="D56" s="27">
        <v>9132.0377407401102</v>
      </c>
      <c r="E56" s="28">
        <v>662188.35338891053</v>
      </c>
      <c r="F56" s="28">
        <v>1519552.4249956058</v>
      </c>
      <c r="G56" s="26" t="s">
        <v>192</v>
      </c>
      <c r="H56" s="29">
        <v>192.73758713414855</v>
      </c>
      <c r="X56" s="29">
        <f t="shared" si="1"/>
        <v>9132.0377407401102</v>
      </c>
      <c r="Y56" s="29">
        <f t="shared" si="2"/>
        <v>662188.35338891053</v>
      </c>
      <c r="Z56" s="29">
        <f t="shared" si="3"/>
        <v>1519552.4249956058</v>
      </c>
    </row>
    <row r="57" spans="1:26" ht="19.95" customHeight="1" x14ac:dyDescent="0.3">
      <c r="A57" s="21" t="s">
        <v>199</v>
      </c>
      <c r="C57" s="26" t="s">
        <v>29</v>
      </c>
      <c r="D57" s="27">
        <v>9172.0377407401102</v>
      </c>
      <c r="E57" s="28">
        <v>662178.60983903392</v>
      </c>
      <c r="F57" s="28">
        <v>1519513.6392024057</v>
      </c>
      <c r="G57" s="26" t="s">
        <v>190</v>
      </c>
      <c r="H57" s="29">
        <v>196.83014258894767</v>
      </c>
      <c r="X57" s="29">
        <f t="shared" si="1"/>
        <v>9172.0377407401102</v>
      </c>
      <c r="Y57" s="29">
        <f t="shared" si="2"/>
        <v>662178.60983903392</v>
      </c>
      <c r="Z57" s="29">
        <f t="shared" si="3"/>
        <v>1519513.6392024057</v>
      </c>
    </row>
    <row r="58" spans="1:26" ht="19.95" customHeight="1" x14ac:dyDescent="0.3">
      <c r="A58" s="21" t="s">
        <v>201</v>
      </c>
      <c r="B58" s="26" t="s">
        <v>17</v>
      </c>
      <c r="C58" s="26" t="s">
        <v>82</v>
      </c>
      <c r="D58" s="27">
        <v>9241.8976765743828</v>
      </c>
      <c r="E58" s="28">
        <v>662164.13080000004</v>
      </c>
      <c r="F58" s="28">
        <v>1519445.2686999999</v>
      </c>
      <c r="I58" s="26" t="s">
        <v>192</v>
      </c>
      <c r="J58" s="29">
        <v>192.73758713414855</v>
      </c>
      <c r="K58" s="26" t="s">
        <v>200</v>
      </c>
      <c r="L58" s="29">
        <v>35.558752462074096</v>
      </c>
      <c r="M58" s="26" t="s">
        <v>84</v>
      </c>
      <c r="N58" s="29">
        <v>280</v>
      </c>
      <c r="O58" s="29">
        <v>40</v>
      </c>
      <c r="P58" s="29">
        <v>133.77284499604508</v>
      </c>
      <c r="Q58" s="29">
        <v>40</v>
      </c>
      <c r="X58" s="29">
        <f t="shared" si="1"/>
        <v>9241.8976765743828</v>
      </c>
      <c r="Y58" s="29">
        <f t="shared" si="2"/>
        <v>662164.13080000004</v>
      </c>
      <c r="Z58" s="29">
        <f t="shared" si="3"/>
        <v>1519445.2686999999</v>
      </c>
    </row>
    <row r="59" spans="1:26" ht="19.95" customHeight="1" x14ac:dyDescent="0.3">
      <c r="A59" s="21" t="s">
        <v>203</v>
      </c>
      <c r="C59" s="26" t="s">
        <v>30</v>
      </c>
      <c r="D59" s="27">
        <v>9305.8105857361552</v>
      </c>
      <c r="E59" s="28">
        <v>662111.32507465221</v>
      </c>
      <c r="F59" s="28">
        <v>1519399.4896267862</v>
      </c>
      <c r="G59" s="26" t="s">
        <v>202</v>
      </c>
      <c r="H59" s="29">
        <v>224.20378414142354</v>
      </c>
      <c r="X59" s="29">
        <f t="shared" si="1"/>
        <v>9305.8105857361552</v>
      </c>
      <c r="Y59" s="29">
        <f t="shared" si="2"/>
        <v>662111.32507465221</v>
      </c>
      <c r="Z59" s="29">
        <f t="shared" si="3"/>
        <v>1519399.4896267862</v>
      </c>
    </row>
    <row r="60" spans="1:26" ht="19.95" customHeight="1" x14ac:dyDescent="0.3">
      <c r="A60" s="21" t="s">
        <v>205</v>
      </c>
      <c r="C60" s="26" t="s">
        <v>31</v>
      </c>
      <c r="D60" s="27">
        <v>9345.8105857361552</v>
      </c>
      <c r="E60" s="28">
        <v>662082.1098485603</v>
      </c>
      <c r="F60" s="28">
        <v>1519372.1812932431</v>
      </c>
      <c r="G60" s="26" t="s">
        <v>204</v>
      </c>
      <c r="H60" s="29">
        <v>228.29633959622265</v>
      </c>
      <c r="X60" s="29">
        <f t="shared" si="1"/>
        <v>9345.8105857361552</v>
      </c>
      <c r="Y60" s="29">
        <f t="shared" si="2"/>
        <v>662082.1098485603</v>
      </c>
      <c r="Z60" s="29">
        <f t="shared" si="3"/>
        <v>1519372.1812932431</v>
      </c>
    </row>
    <row r="61" spans="1:26" ht="19.95" customHeight="1" x14ac:dyDescent="0.3">
      <c r="A61" s="21" t="s">
        <v>210</v>
      </c>
      <c r="C61" s="26" t="s">
        <v>28</v>
      </c>
      <c r="D61" s="27">
        <v>9372.8740936811646</v>
      </c>
      <c r="E61" s="28">
        <v>662061.90433954704</v>
      </c>
      <c r="F61" s="28">
        <v>1519354.1765475408</v>
      </c>
      <c r="G61" s="26" t="s">
        <v>204</v>
      </c>
      <c r="H61" s="29">
        <v>228.29633959622265</v>
      </c>
      <c r="X61" s="29">
        <f t="shared" si="1"/>
        <v>9372.8740936811646</v>
      </c>
      <c r="Y61" s="29">
        <f t="shared" si="2"/>
        <v>662061.90433954704</v>
      </c>
      <c r="Z61" s="29">
        <f t="shared" si="3"/>
        <v>1519354.1765475408</v>
      </c>
    </row>
    <row r="62" spans="1:26" ht="19.95" customHeight="1" x14ac:dyDescent="0.3">
      <c r="A62" s="21" t="s">
        <v>212</v>
      </c>
      <c r="C62" s="26" t="s">
        <v>29</v>
      </c>
      <c r="D62" s="27">
        <v>9422.8740936811646</v>
      </c>
      <c r="E62" s="28">
        <v>662025.20193881437</v>
      </c>
      <c r="F62" s="28">
        <v>1519320.2317690186</v>
      </c>
      <c r="G62" s="26" t="s">
        <v>211</v>
      </c>
      <c r="H62" s="29">
        <v>225.11324090915667</v>
      </c>
      <c r="X62" s="29">
        <f t="shared" si="1"/>
        <v>9422.8740936811646</v>
      </c>
      <c r="Y62" s="29">
        <f t="shared" si="2"/>
        <v>662025.20193881437</v>
      </c>
      <c r="Z62" s="29">
        <f t="shared" si="3"/>
        <v>1519320.2317690186</v>
      </c>
    </row>
    <row r="63" spans="1:26" ht="19.95" customHeight="1" x14ac:dyDescent="0.3">
      <c r="A63" s="21" t="s">
        <v>214</v>
      </c>
      <c r="B63" s="26" t="s">
        <v>18</v>
      </c>
      <c r="C63" s="26" t="s">
        <v>82</v>
      </c>
      <c r="D63" s="27">
        <v>9458.1273878671545</v>
      </c>
      <c r="E63" s="28">
        <v>661998.25459999999</v>
      </c>
      <c r="F63" s="28">
        <v>1519297.4594000001</v>
      </c>
      <c r="I63" s="26" t="s">
        <v>204</v>
      </c>
      <c r="J63" s="29">
        <v>228.29633959622265</v>
      </c>
      <c r="K63" s="26" t="s">
        <v>213</v>
      </c>
      <c r="L63" s="29">
        <v>15.245550503756021</v>
      </c>
      <c r="M63" s="26" t="s">
        <v>97</v>
      </c>
      <c r="N63" s="29">
        <v>450</v>
      </c>
      <c r="O63" s="29">
        <v>50</v>
      </c>
      <c r="P63" s="29">
        <v>69.738272728793632</v>
      </c>
      <c r="Q63" s="29">
        <v>50</v>
      </c>
      <c r="X63" s="29">
        <f t="shared" si="1"/>
        <v>9458.1273878671545</v>
      </c>
      <c r="Y63" s="29">
        <f t="shared" si="2"/>
        <v>661998.25459999999</v>
      </c>
      <c r="Z63" s="29">
        <f t="shared" si="3"/>
        <v>1519297.4594000001</v>
      </c>
    </row>
    <row r="64" spans="1:26" ht="19.95" customHeight="1" x14ac:dyDescent="0.3">
      <c r="A64" s="21" t="s">
        <v>216</v>
      </c>
      <c r="C64" s="26" t="s">
        <v>30</v>
      </c>
      <c r="D64" s="27">
        <v>9492.6123664099578</v>
      </c>
      <c r="E64" s="28">
        <v>661979.79559320793</v>
      </c>
      <c r="F64" s="28">
        <v>1519267.3927253161</v>
      </c>
      <c r="G64" s="26" t="s">
        <v>215</v>
      </c>
      <c r="H64" s="29">
        <v>216.23388777953261</v>
      </c>
      <c r="X64" s="29">
        <f t="shared" si="1"/>
        <v>9492.6123664099578</v>
      </c>
      <c r="Y64" s="29">
        <f t="shared" si="2"/>
        <v>661979.79559320793</v>
      </c>
      <c r="Z64" s="29">
        <f t="shared" si="3"/>
        <v>1519267.3927253161</v>
      </c>
    </row>
    <row r="65" spans="1:26" ht="19.95" customHeight="1" x14ac:dyDescent="0.3">
      <c r="A65" s="21" t="s">
        <v>218</v>
      </c>
      <c r="C65" s="26" t="s">
        <v>31</v>
      </c>
      <c r="D65" s="27">
        <v>9542.6123664099578</v>
      </c>
      <c r="E65" s="28">
        <v>661951.75896870089</v>
      </c>
      <c r="F65" s="28">
        <v>1519226.0011573709</v>
      </c>
      <c r="G65" s="26" t="s">
        <v>217</v>
      </c>
      <c r="H65" s="29">
        <v>213.05078909246663</v>
      </c>
      <c r="X65" s="29">
        <f t="shared" si="1"/>
        <v>9542.6123664099578</v>
      </c>
      <c r="Y65" s="29">
        <f t="shared" si="2"/>
        <v>661951.75896870089</v>
      </c>
      <c r="Z65" s="29">
        <f t="shared" si="3"/>
        <v>1519226.0011573709</v>
      </c>
    </row>
    <row r="66" spans="1:26" ht="19.95" customHeight="1" x14ac:dyDescent="0.3">
      <c r="A66" s="21" t="s">
        <v>223</v>
      </c>
      <c r="C66" s="26" t="s">
        <v>28</v>
      </c>
      <c r="D66" s="27">
        <v>9567.6124449940617</v>
      </c>
      <c r="E66" s="28">
        <v>661938.1243627019</v>
      </c>
      <c r="F66" s="28">
        <v>1519205.0464097355</v>
      </c>
      <c r="G66" s="26" t="s">
        <v>217</v>
      </c>
      <c r="H66" s="29">
        <v>213.05078909246663</v>
      </c>
      <c r="X66" s="29">
        <f t="shared" si="1"/>
        <v>9567.6124449940617</v>
      </c>
      <c r="Y66" s="29">
        <f t="shared" si="2"/>
        <v>661938.1243627019</v>
      </c>
      <c r="Z66" s="29">
        <f t="shared" si="3"/>
        <v>1519205.0464097355</v>
      </c>
    </row>
    <row r="67" spans="1:26" ht="19.95" customHeight="1" x14ac:dyDescent="0.3">
      <c r="A67" s="21" t="s">
        <v>225</v>
      </c>
      <c r="C67" s="26" t="s">
        <v>29</v>
      </c>
      <c r="D67" s="27">
        <v>9592.6124449940617</v>
      </c>
      <c r="E67" s="28">
        <v>661924.36551440007</v>
      </c>
      <c r="F67" s="28">
        <v>1519184.1735474905</v>
      </c>
      <c r="G67" s="26" t="s">
        <v>224</v>
      </c>
      <c r="H67" s="29">
        <v>214.07392795616641</v>
      </c>
      <c r="X67" s="29">
        <f t="shared" si="1"/>
        <v>9592.6124449940617</v>
      </c>
      <c r="Y67" s="29">
        <f t="shared" si="2"/>
        <v>661924.36551440007</v>
      </c>
      <c r="Z67" s="29">
        <f t="shared" si="3"/>
        <v>1519184.1735474905</v>
      </c>
    </row>
    <row r="68" spans="1:26" ht="19.95" customHeight="1" x14ac:dyDescent="0.3">
      <c r="A68" s="21" t="s">
        <v>227</v>
      </c>
      <c r="B68" s="26" t="s">
        <v>19</v>
      </c>
      <c r="C68" s="26" t="s">
        <v>82</v>
      </c>
      <c r="D68" s="27">
        <v>9605.4647286647851</v>
      </c>
      <c r="E68" s="28">
        <v>661917.4804</v>
      </c>
      <c r="F68" s="28">
        <v>1519173.3191</v>
      </c>
      <c r="I68" s="26" t="s">
        <v>217</v>
      </c>
      <c r="J68" s="29">
        <v>213.05078909246663</v>
      </c>
      <c r="K68" s="26" t="s">
        <v>226</v>
      </c>
      <c r="L68" s="29">
        <v>4.148213582954611</v>
      </c>
      <c r="M68" s="26" t="s">
        <v>84</v>
      </c>
      <c r="N68" s="29">
        <v>700</v>
      </c>
      <c r="O68" s="29">
        <v>25</v>
      </c>
      <c r="P68" s="29">
        <v>25.679989176370434</v>
      </c>
      <c r="Q68" s="29">
        <v>25</v>
      </c>
      <c r="X68" s="29">
        <f t="shared" si="1"/>
        <v>9605.4647286647851</v>
      </c>
      <c r="Y68" s="29">
        <f t="shared" si="2"/>
        <v>661917.4804</v>
      </c>
      <c r="Z68" s="29">
        <f t="shared" si="3"/>
        <v>1519173.3191</v>
      </c>
    </row>
    <row r="69" spans="1:26" ht="19.95" customHeight="1" x14ac:dyDescent="0.3">
      <c r="A69" s="21" t="s">
        <v>229</v>
      </c>
      <c r="C69" s="26" t="s">
        <v>30</v>
      </c>
      <c r="D69" s="27">
        <v>9618.2924341704329</v>
      </c>
      <c r="E69" s="28">
        <v>661909.59108709346</v>
      </c>
      <c r="F69" s="28">
        <v>1519163.1710670583</v>
      </c>
      <c r="G69" s="26" t="s">
        <v>228</v>
      </c>
      <c r="H69" s="29">
        <v>216.17586381172146</v>
      </c>
      <c r="X69" s="29">
        <f t="shared" si="1"/>
        <v>9618.2924341704329</v>
      </c>
      <c r="Y69" s="29">
        <f t="shared" si="2"/>
        <v>661909.59108709346</v>
      </c>
      <c r="Z69" s="29">
        <f t="shared" si="3"/>
        <v>1519163.1710670583</v>
      </c>
    </row>
    <row r="70" spans="1:26" ht="19.95" customHeight="1" x14ac:dyDescent="0.3">
      <c r="A70" s="21" t="s">
        <v>231</v>
      </c>
      <c r="C70" s="26" t="s">
        <v>31</v>
      </c>
      <c r="D70" s="27">
        <v>9643.2924341704329</v>
      </c>
      <c r="E70" s="28">
        <v>661894.59546850319</v>
      </c>
      <c r="F70" s="28">
        <v>1519143.1682245652</v>
      </c>
      <c r="G70" s="26" t="s">
        <v>230</v>
      </c>
      <c r="H70" s="29">
        <v>217.19900267542124</v>
      </c>
      <c r="X70" s="29">
        <f t="shared" si="1"/>
        <v>9643.2924341704329</v>
      </c>
      <c r="Y70" s="29">
        <f t="shared" si="2"/>
        <v>661894.59546850319</v>
      </c>
      <c r="Z70" s="29">
        <f t="shared" si="3"/>
        <v>1519143.1682245652</v>
      </c>
    </row>
    <row r="71" spans="1:26" ht="19.95" customHeight="1" x14ac:dyDescent="0.3">
      <c r="A71" s="21" t="s">
        <v>236</v>
      </c>
      <c r="C71" s="26" t="s">
        <v>28</v>
      </c>
      <c r="D71" s="27">
        <v>9713.1414571010737</v>
      </c>
      <c r="E71" s="28">
        <v>661852.36577113776</v>
      </c>
      <c r="F71" s="28">
        <v>1519087.5306593347</v>
      </c>
      <c r="G71" s="26" t="s">
        <v>230</v>
      </c>
      <c r="H71" s="29">
        <v>217.19900267542124</v>
      </c>
      <c r="X71" s="29">
        <f t="shared" si="1"/>
        <v>9713.1414571010737</v>
      </c>
      <c r="Y71" s="29">
        <f t="shared" si="2"/>
        <v>661852.36577113776</v>
      </c>
      <c r="Z71" s="29">
        <f t="shared" si="3"/>
        <v>1519087.5306593347</v>
      </c>
    </row>
    <row r="72" spans="1:26" ht="19.95" customHeight="1" x14ac:dyDescent="0.3">
      <c r="A72" s="21" t="s">
        <v>238</v>
      </c>
      <c r="C72" s="26" t="s">
        <v>29</v>
      </c>
      <c r="D72" s="27">
        <v>9768.1414571010737</v>
      </c>
      <c r="E72" s="28">
        <v>661820.01818209724</v>
      </c>
      <c r="F72" s="28">
        <v>1519043.0601135679</v>
      </c>
      <c r="G72" s="26" t="s">
        <v>237</v>
      </c>
      <c r="H72" s="29">
        <v>213.69759411964867</v>
      </c>
      <c r="X72" s="29">
        <f t="shared" ref="X72:X76" si="4">D72-U72</f>
        <v>9768.1414571010737</v>
      </c>
      <c r="Y72" s="29">
        <f t="shared" ref="Y72:Y76" si="5">E72-V72</f>
        <v>661820.01818209724</v>
      </c>
      <c r="Z72" s="29">
        <f t="shared" ref="Z72:Z76" si="6">F72-W72</f>
        <v>1519043.0601135679</v>
      </c>
    </row>
    <row r="73" spans="1:26" ht="19.95" customHeight="1" x14ac:dyDescent="0.3">
      <c r="A73" s="21" t="s">
        <v>240</v>
      </c>
      <c r="B73" s="26" t="s">
        <v>20</v>
      </c>
      <c r="C73" s="26" t="s">
        <v>82</v>
      </c>
      <c r="D73" s="27">
        <v>9798.8499211291401</v>
      </c>
      <c r="E73" s="28">
        <v>661800.5477</v>
      </c>
      <c r="F73" s="28">
        <v>1519019.2604</v>
      </c>
      <c r="I73" s="26" t="s">
        <v>230</v>
      </c>
      <c r="J73" s="29">
        <v>217.19900267542124</v>
      </c>
      <c r="K73" s="26" t="s">
        <v>239</v>
      </c>
      <c r="L73" s="29">
        <v>14.732602444623126</v>
      </c>
      <c r="M73" s="26" t="s">
        <v>97</v>
      </c>
      <c r="N73" s="29">
        <v>450</v>
      </c>
      <c r="O73" s="29">
        <v>55</v>
      </c>
      <c r="P73" s="29">
        <v>60.709588124388674</v>
      </c>
      <c r="Q73" s="29">
        <v>55</v>
      </c>
      <c r="X73" s="29">
        <f t="shared" si="4"/>
        <v>9798.8499211291401</v>
      </c>
      <c r="Y73" s="29">
        <f t="shared" si="5"/>
        <v>661800.5477</v>
      </c>
      <c r="Z73" s="29">
        <f t="shared" si="6"/>
        <v>1519019.2604</v>
      </c>
    </row>
    <row r="74" spans="1:26" ht="19.95" customHeight="1" x14ac:dyDescent="0.3">
      <c r="A74" s="21" t="s">
        <v>242</v>
      </c>
      <c r="C74" s="26" t="s">
        <v>30</v>
      </c>
      <c r="D74" s="27">
        <v>9828.8510452254632</v>
      </c>
      <c r="E74" s="28">
        <v>661789.83993433777</v>
      </c>
      <c r="F74" s="28">
        <v>1518990.4355879133</v>
      </c>
      <c r="G74" s="26" t="s">
        <v>241</v>
      </c>
      <c r="H74" s="29">
        <v>205.96780878657069</v>
      </c>
      <c r="X74" s="29">
        <f t="shared" si="4"/>
        <v>9828.8510452254632</v>
      </c>
      <c r="Y74" s="29">
        <f t="shared" si="5"/>
        <v>661789.83993433777</v>
      </c>
      <c r="Z74" s="29">
        <f t="shared" si="6"/>
        <v>1518990.4355879133</v>
      </c>
    </row>
    <row r="75" spans="1:26" ht="19.95" customHeight="1" x14ac:dyDescent="0.3">
      <c r="A75" s="21" t="s">
        <v>244</v>
      </c>
      <c r="C75" s="26" t="s">
        <v>31</v>
      </c>
      <c r="D75" s="27">
        <v>9883.8510452254632</v>
      </c>
      <c r="E75" s="28">
        <v>661767.79493438546</v>
      </c>
      <c r="F75" s="28">
        <v>1518940.056882713</v>
      </c>
      <c r="G75" s="26" t="s">
        <v>243</v>
      </c>
      <c r="H75" s="29">
        <v>202.46640023079811</v>
      </c>
      <c r="X75" s="29">
        <f t="shared" si="4"/>
        <v>9883.8510452254632</v>
      </c>
      <c r="Y75" s="29">
        <f t="shared" si="5"/>
        <v>661767.79493438546</v>
      </c>
      <c r="Z75" s="29">
        <f t="shared" si="6"/>
        <v>1518940.056882713</v>
      </c>
    </row>
    <row r="76" spans="1:26" ht="19.95" customHeight="1" x14ac:dyDescent="0.3">
      <c r="A76" s="21" t="s">
        <v>249</v>
      </c>
      <c r="C76" s="26" t="s">
        <v>28</v>
      </c>
      <c r="D76" s="27">
        <v>9908.8511107039594</v>
      </c>
      <c r="E76" s="28">
        <v>661758.24136347196</v>
      </c>
      <c r="F76" s="28">
        <v>1518916.9542301223</v>
      </c>
      <c r="G76" s="26" t="s">
        <v>243</v>
      </c>
      <c r="H76" s="29">
        <v>202.46640023079811</v>
      </c>
      <c r="X76" s="29">
        <f t="shared" si="4"/>
        <v>9908.8511107039594</v>
      </c>
      <c r="Y76" s="29">
        <f t="shared" si="5"/>
        <v>661758.24136347196</v>
      </c>
      <c r="Z76" s="29">
        <f t="shared" si="6"/>
        <v>1518916.9542301223</v>
      </c>
    </row>
    <row r="77" spans="1:26" ht="19.95" customHeight="1" x14ac:dyDescent="0.3">
      <c r="A77" s="21" t="s">
        <v>251</v>
      </c>
      <c r="C77" s="26" t="s">
        <v>29</v>
      </c>
      <c r="D77" s="27">
        <v>9938.8511107039594</v>
      </c>
      <c r="E77" s="28">
        <v>661746.94449409994</v>
      </c>
      <c r="F77" s="28">
        <v>1518889.1629614579</v>
      </c>
      <c r="G77" s="26" t="s">
        <v>250</v>
      </c>
      <c r="H77" s="29">
        <v>201.43093439283689</v>
      </c>
      <c r="X77" s="29">
        <f t="shared" ref="X77:X81" si="7">D77-U77</f>
        <v>9938.8511107039594</v>
      </c>
      <c r="Y77" s="29">
        <f t="shared" ref="Y77:Y81" si="8">E77-V77</f>
        <v>661746.94449409994</v>
      </c>
      <c r="Z77" s="29">
        <f t="shared" ref="Z77:Z81" si="9">F77-W77</f>
        <v>1518889.1629614579</v>
      </c>
    </row>
    <row r="78" spans="1:26" ht="19.95" customHeight="1" x14ac:dyDescent="0.3">
      <c r="A78" s="21" t="s">
        <v>253</v>
      </c>
      <c r="B78" s="26" t="s">
        <v>21</v>
      </c>
      <c r="C78" s="26" t="s">
        <v>82</v>
      </c>
      <c r="D78" s="27">
        <v>9954.0887021188882</v>
      </c>
      <c r="E78" s="28">
        <v>661740.95420000004</v>
      </c>
      <c r="F78" s="28">
        <v>1518875.15</v>
      </c>
      <c r="I78" s="26" t="s">
        <v>243</v>
      </c>
      <c r="J78" s="29">
        <v>202.46640023079811</v>
      </c>
      <c r="K78" s="26" t="s">
        <v>252</v>
      </c>
      <c r="L78" s="29">
        <v>4.1726161598242584</v>
      </c>
      <c r="M78" s="26" t="s">
        <v>97</v>
      </c>
      <c r="N78" s="29">
        <v>830</v>
      </c>
      <c r="O78" s="29">
        <v>30</v>
      </c>
      <c r="P78" s="29">
        <v>30.445488572776924</v>
      </c>
      <c r="Q78" s="29">
        <v>30</v>
      </c>
      <c r="X78" s="29">
        <f t="shared" si="7"/>
        <v>9954.0887021188882</v>
      </c>
      <c r="Y78" s="29">
        <f t="shared" si="8"/>
        <v>661740.95420000004</v>
      </c>
      <c r="Z78" s="29">
        <f t="shared" si="9"/>
        <v>1518875.15</v>
      </c>
    </row>
    <row r="79" spans="1:26" ht="19.95" customHeight="1" x14ac:dyDescent="0.3">
      <c r="A79" s="21" t="s">
        <v>255</v>
      </c>
      <c r="C79" s="26" t="s">
        <v>30</v>
      </c>
      <c r="D79" s="27">
        <v>9969.2965992767367</v>
      </c>
      <c r="E79" s="28">
        <v>661736.34255868278</v>
      </c>
      <c r="F79" s="28">
        <v>1518860.6248674204</v>
      </c>
      <c r="G79" s="26" t="s">
        <v>254</v>
      </c>
      <c r="H79" s="29">
        <v>199.32924990893508</v>
      </c>
      <c r="X79" s="29">
        <f t="shared" si="7"/>
        <v>9969.2965992767367</v>
      </c>
      <c r="Y79" s="29">
        <f t="shared" si="8"/>
        <v>661736.34255868278</v>
      </c>
      <c r="Z79" s="29">
        <f t="shared" si="9"/>
        <v>1518860.6248674204</v>
      </c>
    </row>
    <row r="80" spans="1:26" ht="19.95" customHeight="1" x14ac:dyDescent="0.3">
      <c r="A80" s="21" t="s">
        <v>257</v>
      </c>
      <c r="C80" s="26" t="s">
        <v>31</v>
      </c>
      <c r="D80" s="27">
        <v>9999.2965992767367</v>
      </c>
      <c r="E80" s="28">
        <v>661726.75459835248</v>
      </c>
      <c r="F80" s="28">
        <v>1518832.1987370374</v>
      </c>
      <c r="G80" s="26" t="s">
        <v>256</v>
      </c>
      <c r="H80" s="29">
        <v>198.29378407097386</v>
      </c>
      <c r="X80" s="29">
        <f t="shared" si="7"/>
        <v>9999.2965992767367</v>
      </c>
      <c r="Y80" s="29">
        <f t="shared" si="8"/>
        <v>661726.75459835248</v>
      </c>
      <c r="Z80" s="29">
        <f t="shared" si="9"/>
        <v>1518832.1987370374</v>
      </c>
    </row>
    <row r="81" spans="1:26" ht="19.95" customHeight="1" x14ac:dyDescent="0.3">
      <c r="A81" s="21" t="s">
        <v>262</v>
      </c>
      <c r="B81" s="26" t="s">
        <v>35</v>
      </c>
      <c r="C81" s="26" t="s">
        <v>33</v>
      </c>
      <c r="D81" s="27">
        <v>10324.339349976852</v>
      </c>
      <c r="E81" s="28">
        <v>661624.72710000002</v>
      </c>
      <c r="F81" s="28">
        <v>1518523.5837999999</v>
      </c>
      <c r="G81" s="26" t="s">
        <v>256</v>
      </c>
      <c r="H81" s="29">
        <v>198.29378407097386</v>
      </c>
      <c r="X81" s="29">
        <f t="shared" si="7"/>
        <v>10324.339349976852</v>
      </c>
      <c r="Y81" s="29">
        <f t="shared" si="8"/>
        <v>661624.72710000002</v>
      </c>
      <c r="Z81" s="29">
        <f t="shared" si="9"/>
        <v>1518523.5837999999</v>
      </c>
    </row>
  </sheetData>
  <mergeCells count="8">
    <mergeCell ref="B3:R3"/>
    <mergeCell ref="C2:E2"/>
    <mergeCell ref="C4:H4"/>
    <mergeCell ref="I4:Q4"/>
    <mergeCell ref="G5:H5"/>
    <mergeCell ref="I5:J5"/>
    <mergeCell ref="K5:M5"/>
    <mergeCell ref="N5:Q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A4DFA-BF74-4D94-A1C0-A5FA1CD0FE20}">
  <sheetPr codeName="Sheet4"/>
  <dimension ref="A2:L64"/>
  <sheetViews>
    <sheetView zoomScale="70" zoomScaleNormal="70" workbookViewId="0">
      <selection activeCell="E13" sqref="E13"/>
    </sheetView>
  </sheetViews>
  <sheetFormatPr defaultRowHeight="30" customHeight="1" x14ac:dyDescent="0.3"/>
  <cols>
    <col min="1" max="1" width="8.88671875" style="24"/>
    <col min="2" max="2" width="25.77734375" style="24" customWidth="1"/>
    <col min="3" max="4" width="15.77734375" style="24" customWidth="1"/>
    <col min="5" max="10" width="20.77734375" style="24" customWidth="1"/>
    <col min="11" max="11" width="15.77734375" style="24" customWidth="1"/>
    <col min="12" max="12" width="30.77734375" style="24" customWidth="1"/>
    <col min="13" max="16384" width="8.88671875" style="24"/>
  </cols>
  <sheetData>
    <row r="2" spans="1:12" ht="30" customHeight="1" x14ac:dyDescent="0.3">
      <c r="B2" s="23" t="s">
        <v>41</v>
      </c>
      <c r="C2" s="37" t="s">
        <v>34</v>
      </c>
      <c r="D2" s="37"/>
      <c r="E2" s="37"/>
    </row>
    <row r="3" spans="1:12" ht="40.049999999999997" customHeight="1" x14ac:dyDescent="0.3">
      <c r="B3" s="38" t="s">
        <v>62</v>
      </c>
      <c r="C3" s="38"/>
      <c r="D3" s="38"/>
      <c r="E3" s="38"/>
      <c r="F3" s="38"/>
      <c r="G3" s="38"/>
      <c r="H3" s="38"/>
      <c r="I3" s="38"/>
      <c r="J3" s="38"/>
      <c r="K3" s="38"/>
      <c r="L3" s="38"/>
    </row>
    <row r="4" spans="1:12" ht="30" customHeight="1" x14ac:dyDescent="0.3">
      <c r="B4" s="23" t="s">
        <v>45</v>
      </c>
      <c r="C4" s="23" t="s">
        <v>37</v>
      </c>
      <c r="D4" s="23" t="s">
        <v>63</v>
      </c>
      <c r="E4" s="23" t="s">
        <v>64</v>
      </c>
      <c r="F4" s="23" t="s">
        <v>65</v>
      </c>
      <c r="G4" s="23" t="s">
        <v>66</v>
      </c>
      <c r="H4" s="23" t="s">
        <v>67</v>
      </c>
      <c r="I4" s="23" t="s">
        <v>68</v>
      </c>
      <c r="J4" s="23" t="s">
        <v>5</v>
      </c>
      <c r="K4" s="23" t="s">
        <v>69</v>
      </c>
      <c r="L4" s="23" t="s">
        <v>70</v>
      </c>
    </row>
    <row r="5" spans="1:12" ht="30" customHeight="1" x14ac:dyDescent="0.3">
      <c r="A5" s="24" t="s">
        <v>78</v>
      </c>
      <c r="B5" s="30" t="s">
        <v>35</v>
      </c>
      <c r="C5" s="30" t="s">
        <v>27</v>
      </c>
      <c r="D5" s="31">
        <f t="shared" ref="D5:D36" si="0">D6 + 1</f>
        <v>60</v>
      </c>
      <c r="E5" s="32">
        <v>7202.8339999999998</v>
      </c>
      <c r="F5" s="32">
        <f t="shared" ref="F5:F36" si="1">E6</f>
        <v>7280.7684697643826</v>
      </c>
      <c r="G5" s="33">
        <v>662670.304</v>
      </c>
      <c r="H5" s="33">
        <v>1521355.848</v>
      </c>
      <c r="I5" s="33">
        <v>150.92629300070647</v>
      </c>
      <c r="J5" s="33">
        <v>0</v>
      </c>
      <c r="K5" s="30" t="s">
        <v>77</v>
      </c>
      <c r="L5" s="25" t="s">
        <v>71</v>
      </c>
    </row>
    <row r="6" spans="1:12" ht="30" customHeight="1" x14ac:dyDescent="0.3">
      <c r="A6" s="24" t="s">
        <v>79</v>
      </c>
      <c r="B6" s="30" t="s">
        <v>9</v>
      </c>
      <c r="C6" s="30" t="s">
        <v>28</v>
      </c>
      <c r="D6" s="31">
        <f t="shared" si="0"/>
        <v>59</v>
      </c>
      <c r="E6" s="32">
        <v>7280.7684697643826</v>
      </c>
      <c r="F6" s="32">
        <f t="shared" si="1"/>
        <v>7310.7684697643826</v>
      </c>
      <c r="G6" s="33">
        <v>662708.17503886321</v>
      </c>
      <c r="H6" s="33">
        <v>1521287.7336403327</v>
      </c>
      <c r="I6" s="33">
        <v>150.92629300070647</v>
      </c>
      <c r="J6" s="33">
        <v>200</v>
      </c>
      <c r="K6" s="30" t="s">
        <v>90</v>
      </c>
      <c r="L6" s="25" t="s">
        <v>72</v>
      </c>
    </row>
    <row r="7" spans="1:12" ht="30" customHeight="1" x14ac:dyDescent="0.3">
      <c r="A7" s="24" t="s">
        <v>81</v>
      </c>
      <c r="B7" s="30"/>
      <c r="C7" s="30" t="s">
        <v>29</v>
      </c>
      <c r="D7" s="31">
        <f t="shared" si="0"/>
        <v>58</v>
      </c>
      <c r="E7" s="32">
        <v>7310.7684697643826</v>
      </c>
      <c r="F7" s="32">
        <f t="shared" si="1"/>
        <v>7432.4082365561835</v>
      </c>
      <c r="G7" s="33">
        <v>662722.08963891165</v>
      </c>
      <c r="H7" s="33">
        <v>1521261.1642217757</v>
      </c>
      <c r="I7" s="33">
        <v>155.22347622824552</v>
      </c>
      <c r="J7" s="33">
        <v>200</v>
      </c>
      <c r="K7" s="30" t="s">
        <v>91</v>
      </c>
      <c r="L7" s="25" t="s">
        <v>73</v>
      </c>
    </row>
    <row r="8" spans="1:12" ht="30" customHeight="1" x14ac:dyDescent="0.3">
      <c r="A8" s="24" t="s">
        <v>85</v>
      </c>
      <c r="B8" s="30"/>
      <c r="C8" s="30" t="s">
        <v>30</v>
      </c>
      <c r="D8" s="31">
        <f t="shared" si="0"/>
        <v>57</v>
      </c>
      <c r="E8" s="32">
        <v>7432.4082365561835</v>
      </c>
      <c r="F8" s="32">
        <f t="shared" si="1"/>
        <v>7462.4082365561835</v>
      </c>
      <c r="G8" s="33">
        <v>662737.41833189619</v>
      </c>
      <c r="H8" s="33">
        <v>1521142.3755447094</v>
      </c>
      <c r="I8" s="33">
        <v>190.07070332727307</v>
      </c>
      <c r="J8" s="33">
        <v>200</v>
      </c>
      <c r="K8" s="30" t="s">
        <v>92</v>
      </c>
      <c r="L8" s="25" t="s">
        <v>74</v>
      </c>
    </row>
    <row r="9" spans="1:12" ht="30" customHeight="1" x14ac:dyDescent="0.3">
      <c r="A9" s="24" t="s">
        <v>87</v>
      </c>
      <c r="B9" s="30"/>
      <c r="C9" s="30" t="s">
        <v>31</v>
      </c>
      <c r="D9" s="31">
        <f t="shared" si="0"/>
        <v>56</v>
      </c>
      <c r="E9" s="32">
        <v>7462.4082365561835</v>
      </c>
      <c r="F9" s="32">
        <f t="shared" si="1"/>
        <v>7495.4275500033864</v>
      </c>
      <c r="G9" s="33">
        <v>662730.70435984794</v>
      </c>
      <c r="H9" s="33">
        <v>1521113.1441801295</v>
      </c>
      <c r="I9" s="33">
        <v>194.36788655481212</v>
      </c>
      <c r="J9" s="33">
        <v>0</v>
      </c>
      <c r="K9" s="30" t="s">
        <v>77</v>
      </c>
    </row>
    <row r="10" spans="1:12" ht="30" customHeight="1" x14ac:dyDescent="0.3">
      <c r="A10" s="24" t="s">
        <v>103</v>
      </c>
      <c r="B10" s="30" t="s">
        <v>10</v>
      </c>
      <c r="C10" s="30" t="s">
        <v>28</v>
      </c>
      <c r="D10" s="31">
        <f t="shared" si="0"/>
        <v>55</v>
      </c>
      <c r="E10" s="32">
        <v>7495.4275500033864</v>
      </c>
      <c r="F10" s="32">
        <f t="shared" si="1"/>
        <v>7520.4275500033864</v>
      </c>
      <c r="G10" s="33">
        <v>662722.51071163139</v>
      </c>
      <c r="H10" s="33">
        <v>1521081.1576331225</v>
      </c>
      <c r="I10" s="33">
        <v>194.36788655481212</v>
      </c>
      <c r="J10" s="33">
        <v>-2200</v>
      </c>
      <c r="K10" s="30" t="s">
        <v>90</v>
      </c>
    </row>
    <row r="11" spans="1:12" ht="30" customHeight="1" x14ac:dyDescent="0.3">
      <c r="A11" s="24" t="s">
        <v>93</v>
      </c>
      <c r="B11" s="30"/>
      <c r="C11" s="30" t="s">
        <v>29</v>
      </c>
      <c r="D11" s="31">
        <f t="shared" si="0"/>
        <v>54</v>
      </c>
      <c r="E11" s="32">
        <v>7520.4275500033864</v>
      </c>
      <c r="F11" s="32">
        <f t="shared" si="1"/>
        <v>7546.1593074077082</v>
      </c>
      <c r="G11" s="33">
        <v>662716.35292544111</v>
      </c>
      <c r="H11" s="33">
        <v>1521056.9279018878</v>
      </c>
      <c r="I11" s="33">
        <v>194.04234237090765</v>
      </c>
      <c r="J11" s="33">
        <v>-2200</v>
      </c>
      <c r="K11" s="30" t="s">
        <v>91</v>
      </c>
    </row>
    <row r="12" spans="1:12" ht="30" customHeight="1" x14ac:dyDescent="0.3">
      <c r="A12" s="24" t="s">
        <v>95</v>
      </c>
      <c r="B12" s="30"/>
      <c r="C12" s="30" t="s">
        <v>30</v>
      </c>
      <c r="D12" s="31">
        <f t="shared" si="0"/>
        <v>53</v>
      </c>
      <c r="E12" s="32">
        <v>7546.1593074077082</v>
      </c>
      <c r="F12" s="32">
        <f t="shared" si="1"/>
        <v>7571.1593074077082</v>
      </c>
      <c r="G12" s="33">
        <v>662710.25552736293</v>
      </c>
      <c r="H12" s="33">
        <v>1521031.9291513695</v>
      </c>
      <c r="I12" s="33">
        <v>193.37219637095944</v>
      </c>
      <c r="J12" s="33">
        <v>-2200</v>
      </c>
      <c r="K12" s="30" t="s">
        <v>92</v>
      </c>
    </row>
    <row r="13" spans="1:12" ht="30" customHeight="1" x14ac:dyDescent="0.3">
      <c r="A13" s="24" t="s">
        <v>98</v>
      </c>
      <c r="B13" s="30"/>
      <c r="C13" s="30" t="s">
        <v>31</v>
      </c>
      <c r="D13" s="31">
        <f t="shared" si="0"/>
        <v>52</v>
      </c>
      <c r="E13" s="32">
        <v>7571.1593074077082</v>
      </c>
      <c r="F13" s="32">
        <f t="shared" si="1"/>
        <v>7682.3558307983403</v>
      </c>
      <c r="G13" s="33">
        <v>662704.56581143581</v>
      </c>
      <c r="H13" s="33">
        <v>1521007.5852539986</v>
      </c>
      <c r="I13" s="33">
        <v>193.04665218705497</v>
      </c>
      <c r="J13" s="33">
        <v>0</v>
      </c>
      <c r="K13" s="30" t="s">
        <v>77</v>
      </c>
    </row>
    <row r="14" spans="1:12" ht="30" customHeight="1" x14ac:dyDescent="0.3">
      <c r="A14" s="24" t="s">
        <v>113</v>
      </c>
      <c r="B14" s="30" t="s">
        <v>11</v>
      </c>
      <c r="C14" s="30" t="s">
        <v>28</v>
      </c>
      <c r="D14" s="31">
        <f t="shared" si="0"/>
        <v>51</v>
      </c>
      <c r="E14" s="32">
        <v>7682.3558307983403</v>
      </c>
      <c r="F14" s="32">
        <f t="shared" si="1"/>
        <v>7707.3558307983403</v>
      </c>
      <c r="G14" s="33">
        <v>662679.4638207017</v>
      </c>
      <c r="H14" s="33">
        <v>1520899.2590942986</v>
      </c>
      <c r="I14" s="33">
        <v>193.04665218705497</v>
      </c>
      <c r="J14" s="33">
        <v>2300</v>
      </c>
      <c r="K14" s="30" t="s">
        <v>90</v>
      </c>
    </row>
    <row r="15" spans="1:12" ht="30" customHeight="1" x14ac:dyDescent="0.3">
      <c r="A15" s="24" t="s">
        <v>114</v>
      </c>
      <c r="B15" s="30"/>
      <c r="C15" s="30" t="s">
        <v>29</v>
      </c>
      <c r="D15" s="31">
        <f t="shared" si="0"/>
        <v>50</v>
      </c>
      <c r="E15" s="32">
        <v>7707.3558307983403</v>
      </c>
      <c r="F15" s="32">
        <f t="shared" si="1"/>
        <v>7742.2430898280754</v>
      </c>
      <c r="G15" s="33">
        <v>662673.77610870101</v>
      </c>
      <c r="H15" s="33">
        <v>1520874.9147255186</v>
      </c>
      <c r="I15" s="33">
        <v>193.35804227600707</v>
      </c>
      <c r="J15" s="33">
        <v>2300</v>
      </c>
      <c r="K15" s="30" t="s">
        <v>91</v>
      </c>
    </row>
    <row r="16" spans="1:12" ht="30" customHeight="1" x14ac:dyDescent="0.3">
      <c r="A16" s="24" t="s">
        <v>104</v>
      </c>
      <c r="B16" s="30"/>
      <c r="C16" s="30" t="s">
        <v>30</v>
      </c>
      <c r="D16" s="31">
        <f t="shared" si="0"/>
        <v>49</v>
      </c>
      <c r="E16" s="32">
        <v>7742.2430898280754</v>
      </c>
      <c r="F16" s="32">
        <f t="shared" si="1"/>
        <v>7767.2430898280754</v>
      </c>
      <c r="G16" s="33">
        <v>662665.45879599813</v>
      </c>
      <c r="H16" s="33">
        <v>1520841.0337601257</v>
      </c>
      <c r="I16" s="33">
        <v>194.22712610488139</v>
      </c>
      <c r="J16" s="33">
        <v>2300</v>
      </c>
      <c r="K16" s="30" t="s">
        <v>92</v>
      </c>
    </row>
    <row r="17" spans="1:11" ht="30" customHeight="1" x14ac:dyDescent="0.3">
      <c r="A17" s="24" t="s">
        <v>106</v>
      </c>
      <c r="B17" s="30"/>
      <c r="C17" s="30" t="s">
        <v>31</v>
      </c>
      <c r="D17" s="31">
        <f t="shared" si="0"/>
        <v>48</v>
      </c>
      <c r="E17" s="32">
        <v>7767.2430898280754</v>
      </c>
      <c r="F17" s="32">
        <f t="shared" si="1"/>
        <v>7805.1378543969158</v>
      </c>
      <c r="G17" s="33">
        <v>662659.22688547324</v>
      </c>
      <c r="H17" s="33">
        <v>1520816.822984627</v>
      </c>
      <c r="I17" s="33">
        <v>194.53851619383349</v>
      </c>
      <c r="J17" s="33">
        <v>0</v>
      </c>
      <c r="K17" s="30" t="s">
        <v>77</v>
      </c>
    </row>
    <row r="18" spans="1:11" ht="30" customHeight="1" x14ac:dyDescent="0.3">
      <c r="A18" s="24" t="s">
        <v>124</v>
      </c>
      <c r="B18" s="30" t="s">
        <v>12</v>
      </c>
      <c r="C18" s="30" t="s">
        <v>28</v>
      </c>
      <c r="D18" s="31">
        <f t="shared" si="0"/>
        <v>47</v>
      </c>
      <c r="E18" s="32">
        <v>7805.1378543969158</v>
      </c>
      <c r="F18" s="32">
        <f t="shared" si="1"/>
        <v>7830.1378543969158</v>
      </c>
      <c r="G18" s="33">
        <v>662649.71412950312</v>
      </c>
      <c r="H18" s="33">
        <v>1520780.1416452897</v>
      </c>
      <c r="I18" s="33">
        <v>194.53851619383349</v>
      </c>
      <c r="J18" s="33">
        <v>-2400</v>
      </c>
      <c r="K18" s="30" t="s">
        <v>90</v>
      </c>
    </row>
    <row r="19" spans="1:11" ht="30" customHeight="1" x14ac:dyDescent="0.3">
      <c r="A19" s="24" t="s">
        <v>125</v>
      </c>
      <c r="B19" s="30"/>
      <c r="C19" s="30" t="s">
        <v>29</v>
      </c>
      <c r="D19" s="31">
        <f t="shared" si="0"/>
        <v>46</v>
      </c>
      <c r="E19" s="32">
        <v>7830.1378543969158</v>
      </c>
      <c r="F19" s="32">
        <f t="shared" si="1"/>
        <v>7877.3642489977383</v>
      </c>
      <c r="G19" s="33">
        <v>662643.48039082543</v>
      </c>
      <c r="H19" s="33">
        <v>1520755.9313376702</v>
      </c>
      <c r="I19" s="33">
        <v>194.24010069192104</v>
      </c>
      <c r="J19" s="33">
        <v>-2400</v>
      </c>
      <c r="K19" s="30" t="s">
        <v>91</v>
      </c>
    </row>
    <row r="20" spans="1:11" ht="30" customHeight="1" x14ac:dyDescent="0.3">
      <c r="A20" s="24" t="s">
        <v>126</v>
      </c>
      <c r="B20" s="30"/>
      <c r="C20" s="30" t="s">
        <v>30</v>
      </c>
      <c r="D20" s="31">
        <f t="shared" si="0"/>
        <v>45</v>
      </c>
      <c r="E20" s="32">
        <v>7877.3642489977383</v>
      </c>
      <c r="F20" s="32">
        <f t="shared" si="1"/>
        <v>7902.3642489977383</v>
      </c>
      <c r="G20" s="33">
        <v>662632.31447872112</v>
      </c>
      <c r="H20" s="33">
        <v>1520710.0447079458</v>
      </c>
      <c r="I20" s="33">
        <v>193.11265352402503</v>
      </c>
      <c r="J20" s="33">
        <v>-2400</v>
      </c>
      <c r="K20" s="30" t="s">
        <v>92</v>
      </c>
    </row>
    <row r="21" spans="1:11" ht="30" customHeight="1" x14ac:dyDescent="0.3">
      <c r="A21" s="24" t="s">
        <v>115</v>
      </c>
      <c r="B21" s="30"/>
      <c r="C21" s="30" t="s">
        <v>31</v>
      </c>
      <c r="D21" s="31">
        <f t="shared" si="0"/>
        <v>44</v>
      </c>
      <c r="E21" s="32">
        <v>7902.3642489977383</v>
      </c>
      <c r="F21" s="32">
        <f t="shared" si="1"/>
        <v>7961.3372717660222</v>
      </c>
      <c r="G21" s="33">
        <v>662626.72740228579</v>
      </c>
      <c r="H21" s="33">
        <v>1520685.6770435134</v>
      </c>
      <c r="I21" s="33">
        <v>192.81423802211259</v>
      </c>
      <c r="J21" s="33">
        <v>0</v>
      </c>
      <c r="K21" s="30" t="s">
        <v>77</v>
      </c>
    </row>
    <row r="22" spans="1:11" ht="30" customHeight="1" x14ac:dyDescent="0.3">
      <c r="A22" s="24" t="s">
        <v>136</v>
      </c>
      <c r="B22" s="30" t="s">
        <v>13</v>
      </c>
      <c r="C22" s="30" t="s">
        <v>28</v>
      </c>
      <c r="D22" s="31">
        <f t="shared" si="0"/>
        <v>43</v>
      </c>
      <c r="E22" s="32">
        <v>7961.3372717660222</v>
      </c>
      <c r="F22" s="32">
        <f t="shared" si="1"/>
        <v>7979.3372717660222</v>
      </c>
      <c r="G22" s="33">
        <v>662613.64772385778</v>
      </c>
      <c r="H22" s="33">
        <v>1520628.1727877869</v>
      </c>
      <c r="I22" s="33">
        <v>192.81423802211259</v>
      </c>
      <c r="J22" s="33">
        <v>215</v>
      </c>
      <c r="K22" s="30" t="s">
        <v>90</v>
      </c>
    </row>
    <row r="23" spans="1:11" ht="30" customHeight="1" x14ac:dyDescent="0.3">
      <c r="A23" s="24" t="s">
        <v>137</v>
      </c>
      <c r="B23" s="30"/>
      <c r="C23" s="30" t="s">
        <v>29</v>
      </c>
      <c r="D23" s="31">
        <f t="shared" si="0"/>
        <v>42</v>
      </c>
      <c r="E23" s="32">
        <v>7979.3372717660222</v>
      </c>
      <c r="F23" s="32">
        <f t="shared" si="1"/>
        <v>8000.8239495378812</v>
      </c>
      <c r="G23" s="33">
        <v>662609.4113123857</v>
      </c>
      <c r="H23" s="33">
        <v>1520610.6798647859</v>
      </c>
      <c r="I23" s="33">
        <v>195.21266587004138</v>
      </c>
      <c r="J23" s="33">
        <v>215</v>
      </c>
      <c r="K23" s="30" t="s">
        <v>91</v>
      </c>
    </row>
    <row r="24" spans="1:11" ht="30" customHeight="1" x14ac:dyDescent="0.3">
      <c r="A24" s="24" t="s">
        <v>138</v>
      </c>
      <c r="B24" s="30"/>
      <c r="C24" s="30" t="s">
        <v>30</v>
      </c>
      <c r="D24" s="31">
        <f t="shared" si="0"/>
        <v>41</v>
      </c>
      <c r="E24" s="32">
        <v>8000.8239495378812</v>
      </c>
      <c r="F24" s="32">
        <f t="shared" si="1"/>
        <v>8018.8239495378812</v>
      </c>
      <c r="G24" s="33">
        <v>662602.74735226808</v>
      </c>
      <c r="H24" s="33">
        <v>1520590.2621070575</v>
      </c>
      <c r="I24" s="33">
        <v>200.9386938990493</v>
      </c>
      <c r="J24" s="33">
        <v>215</v>
      </c>
      <c r="K24" s="30" t="s">
        <v>92</v>
      </c>
    </row>
    <row r="25" spans="1:11" ht="30" customHeight="1" x14ac:dyDescent="0.3">
      <c r="A25" s="24" t="s">
        <v>139</v>
      </c>
      <c r="B25" s="30"/>
      <c r="C25" s="30" t="s">
        <v>31</v>
      </c>
      <c r="D25" s="31">
        <f t="shared" si="0"/>
        <v>40</v>
      </c>
      <c r="E25" s="32">
        <v>8018.8239495378812</v>
      </c>
      <c r="F25" s="32">
        <f t="shared" si="1"/>
        <v>8018.8240018921424</v>
      </c>
      <c r="G25" s="33">
        <v>662595.8486597829</v>
      </c>
      <c r="H25" s="33">
        <v>1520573.63810095</v>
      </c>
      <c r="I25" s="33">
        <v>203.33712174697808</v>
      </c>
      <c r="J25" s="33">
        <v>0</v>
      </c>
      <c r="K25" s="30" t="s">
        <v>77</v>
      </c>
    </row>
    <row r="26" spans="1:11" ht="30" customHeight="1" x14ac:dyDescent="0.3">
      <c r="A26" s="24" t="s">
        <v>148</v>
      </c>
      <c r="B26" s="30" t="s">
        <v>14</v>
      </c>
      <c r="C26" s="30" t="s">
        <v>28</v>
      </c>
      <c r="D26" s="31">
        <f t="shared" si="0"/>
        <v>39</v>
      </c>
      <c r="E26" s="32">
        <v>8018.8240018921424</v>
      </c>
      <c r="F26" s="32">
        <f t="shared" si="1"/>
        <v>8036.8240018921424</v>
      </c>
      <c r="G26" s="33">
        <v>662595.8486364783</v>
      </c>
      <c r="H26" s="33">
        <v>1520573.6380539855</v>
      </c>
      <c r="I26" s="33">
        <v>203.33712174697808</v>
      </c>
      <c r="J26" s="33">
        <v>-215</v>
      </c>
      <c r="K26" s="30" t="s">
        <v>90</v>
      </c>
    </row>
    <row r="27" spans="1:11" ht="30" customHeight="1" x14ac:dyDescent="0.3">
      <c r="A27" s="24" t="s">
        <v>149</v>
      </c>
      <c r="B27" s="30"/>
      <c r="C27" s="30" t="s">
        <v>29</v>
      </c>
      <c r="D27" s="31">
        <f t="shared" si="0"/>
        <v>38</v>
      </c>
      <c r="E27" s="32">
        <v>8036.8240018921424</v>
      </c>
      <c r="F27" s="32">
        <f t="shared" si="1"/>
        <v>8055.187135067189</v>
      </c>
      <c r="G27" s="33">
        <v>662588.94994399312</v>
      </c>
      <c r="H27" s="33">
        <v>1520557.0140478781</v>
      </c>
      <c r="I27" s="33">
        <v>200.9386938990493</v>
      </c>
      <c r="J27" s="33">
        <v>-215</v>
      </c>
      <c r="K27" s="30" t="s">
        <v>91</v>
      </c>
    </row>
    <row r="28" spans="1:11" ht="30" customHeight="1" x14ac:dyDescent="0.3">
      <c r="A28" s="24" t="s">
        <v>150</v>
      </c>
      <c r="B28" s="30"/>
      <c r="C28" s="30" t="s">
        <v>30</v>
      </c>
      <c r="D28" s="31">
        <f t="shared" si="0"/>
        <v>37</v>
      </c>
      <c r="E28" s="32">
        <v>8055.187135067189</v>
      </c>
      <c r="F28" s="32">
        <f t="shared" si="1"/>
        <v>8073.187135067189</v>
      </c>
      <c r="G28" s="33">
        <v>662583.12747502641</v>
      </c>
      <c r="H28" s="33">
        <v>1520539.6043213806</v>
      </c>
      <c r="I28" s="33">
        <v>196.04506551610899</v>
      </c>
      <c r="J28" s="33">
        <v>-215</v>
      </c>
      <c r="K28" s="30" t="s">
        <v>92</v>
      </c>
    </row>
    <row r="29" spans="1:11" ht="30" customHeight="1" x14ac:dyDescent="0.3">
      <c r="A29" s="24" t="s">
        <v>151</v>
      </c>
      <c r="B29" s="30"/>
      <c r="C29" s="30" t="s">
        <v>31</v>
      </c>
      <c r="D29" s="31">
        <f t="shared" si="0"/>
        <v>36</v>
      </c>
      <c r="E29" s="32">
        <v>8073.187135067189</v>
      </c>
      <c r="F29" s="32">
        <f t="shared" si="1"/>
        <v>8275.8468033955614</v>
      </c>
      <c r="G29" s="33">
        <v>662578.63738038123</v>
      </c>
      <c r="H29" s="33">
        <v>1520522.1747893342</v>
      </c>
      <c r="I29" s="33">
        <v>193.6466376681802</v>
      </c>
      <c r="J29" s="33">
        <v>0</v>
      </c>
      <c r="K29" s="30" t="s">
        <v>77</v>
      </c>
    </row>
    <row r="30" spans="1:11" ht="30" customHeight="1" x14ac:dyDescent="0.3">
      <c r="A30" s="24" t="s">
        <v>157</v>
      </c>
      <c r="B30" s="30" t="s">
        <v>15</v>
      </c>
      <c r="C30" s="30" t="s">
        <v>32</v>
      </c>
      <c r="D30" s="31">
        <f t="shared" si="0"/>
        <v>35</v>
      </c>
      <c r="E30" s="32">
        <v>8275.8468033955614</v>
      </c>
      <c r="F30" s="32">
        <f t="shared" si="1"/>
        <v>8314.7883491453722</v>
      </c>
      <c r="G30" s="33">
        <v>662530.82323342899</v>
      </c>
      <c r="H30" s="33">
        <v>1520325.2363509373</v>
      </c>
      <c r="I30" s="33">
        <v>193.6466376681802</v>
      </c>
      <c r="J30" s="33">
        <v>-750</v>
      </c>
      <c r="K30" s="30" t="s">
        <v>91</v>
      </c>
    </row>
    <row r="31" spans="1:11" ht="30" customHeight="1" x14ac:dyDescent="0.3">
      <c r="A31" s="24" t="s">
        <v>158</v>
      </c>
      <c r="B31" s="30"/>
      <c r="C31" s="30" t="s">
        <v>38</v>
      </c>
      <c r="D31" s="31">
        <f t="shared" si="0"/>
        <v>34</v>
      </c>
      <c r="E31" s="32">
        <v>8314.7883491453722</v>
      </c>
      <c r="F31" s="32">
        <f t="shared" si="1"/>
        <v>8370.0670298726436</v>
      </c>
      <c r="G31" s="33">
        <v>662522.62196055369</v>
      </c>
      <c r="H31" s="33">
        <v>1520287.1726877217</v>
      </c>
      <c r="I31" s="33">
        <v>190.67172268622906</v>
      </c>
      <c r="J31" s="33">
        <v>0</v>
      </c>
      <c r="K31" s="30" t="s">
        <v>77</v>
      </c>
    </row>
    <row r="32" spans="1:11" ht="30" customHeight="1" x14ac:dyDescent="0.3">
      <c r="A32" s="24" t="s">
        <v>168</v>
      </c>
      <c r="B32" s="30" t="s">
        <v>16</v>
      </c>
      <c r="C32" s="30" t="s">
        <v>28</v>
      </c>
      <c r="D32" s="31">
        <f t="shared" si="0"/>
        <v>33</v>
      </c>
      <c r="E32" s="32">
        <v>8370.0670298726436</v>
      </c>
      <c r="F32" s="32">
        <f t="shared" si="1"/>
        <v>8390.0670298726436</v>
      </c>
      <c r="G32" s="33">
        <v>662512.38536128891</v>
      </c>
      <c r="H32" s="33">
        <v>1520232.8500904122</v>
      </c>
      <c r="I32" s="33">
        <v>190.67172268622906</v>
      </c>
      <c r="J32" s="33">
        <v>620</v>
      </c>
      <c r="K32" s="30" t="s">
        <v>90</v>
      </c>
    </row>
    <row r="33" spans="1:11" ht="30" customHeight="1" x14ac:dyDescent="0.3">
      <c r="A33" s="24" t="s">
        <v>169</v>
      </c>
      <c r="B33" s="30"/>
      <c r="C33" s="30" t="s">
        <v>29</v>
      </c>
      <c r="D33" s="31">
        <f t="shared" si="0"/>
        <v>32</v>
      </c>
      <c r="E33" s="32">
        <v>8390.0670298726436</v>
      </c>
      <c r="F33" s="32">
        <f t="shared" si="1"/>
        <v>8416.265949351684</v>
      </c>
      <c r="G33" s="33">
        <v>662508.57616014127</v>
      </c>
      <c r="H33" s="33">
        <v>1520213.216427047</v>
      </c>
      <c r="I33" s="33">
        <v>191.59584811150629</v>
      </c>
      <c r="J33" s="33">
        <v>620</v>
      </c>
      <c r="K33" s="30" t="s">
        <v>91</v>
      </c>
    </row>
    <row r="34" spans="1:11" ht="30" customHeight="1" x14ac:dyDescent="0.3">
      <c r="A34" s="24" t="s">
        <v>170</v>
      </c>
      <c r="B34" s="30"/>
      <c r="C34" s="30" t="s">
        <v>30</v>
      </c>
      <c r="D34" s="31">
        <f t="shared" si="0"/>
        <v>31</v>
      </c>
      <c r="E34" s="32">
        <v>8416.265949351684</v>
      </c>
      <c r="F34" s="32">
        <f t="shared" si="1"/>
        <v>8436.265949351684</v>
      </c>
      <c r="G34" s="33">
        <v>662502.7694067437</v>
      </c>
      <c r="H34" s="33">
        <v>1520187.6711169244</v>
      </c>
      <c r="I34" s="33">
        <v>194.01695713952995</v>
      </c>
      <c r="J34" s="33">
        <v>620</v>
      </c>
      <c r="K34" s="30" t="s">
        <v>92</v>
      </c>
    </row>
    <row r="35" spans="1:11" ht="30" customHeight="1" x14ac:dyDescent="0.3">
      <c r="A35" s="24" t="s">
        <v>171</v>
      </c>
      <c r="B35" s="30"/>
      <c r="C35" s="30" t="s">
        <v>31</v>
      </c>
      <c r="D35" s="31">
        <f t="shared" si="0"/>
        <v>30</v>
      </c>
      <c r="E35" s="32">
        <v>8436.265949351684</v>
      </c>
      <c r="F35" s="32">
        <f t="shared" si="1"/>
        <v>8509.0428849791551</v>
      </c>
      <c r="G35" s="33">
        <v>662497.71691814542</v>
      </c>
      <c r="H35" s="33">
        <v>1520168.3200676148</v>
      </c>
      <c r="I35" s="33">
        <v>194.94108256480718</v>
      </c>
      <c r="J35" s="33">
        <v>0</v>
      </c>
      <c r="K35" s="30" t="s">
        <v>77</v>
      </c>
    </row>
    <row r="36" spans="1:11" ht="30" customHeight="1" x14ac:dyDescent="0.3">
      <c r="A36" s="24" t="s">
        <v>181</v>
      </c>
      <c r="B36" s="30" t="s">
        <v>1</v>
      </c>
      <c r="C36" s="30" t="s">
        <v>28</v>
      </c>
      <c r="D36" s="31">
        <f t="shared" si="0"/>
        <v>29</v>
      </c>
      <c r="E36" s="32">
        <v>8509.0428849791551</v>
      </c>
      <c r="F36" s="32">
        <f t="shared" si="1"/>
        <v>8559.0428849791551</v>
      </c>
      <c r="G36" s="33">
        <v>662478.95315304922</v>
      </c>
      <c r="H36" s="33">
        <v>1520098.0036152103</v>
      </c>
      <c r="I36" s="33">
        <v>194.94108256480718</v>
      </c>
      <c r="J36" s="33">
        <v>245</v>
      </c>
      <c r="K36" s="30" t="s">
        <v>90</v>
      </c>
    </row>
    <row r="37" spans="1:11" ht="30" customHeight="1" x14ac:dyDescent="0.3">
      <c r="A37" s="24" t="s">
        <v>182</v>
      </c>
      <c r="B37" s="30"/>
      <c r="C37" s="30" t="s">
        <v>29</v>
      </c>
      <c r="D37" s="31">
        <f t="shared" ref="D37:D64" si="2">D38 + 1</f>
        <v>28</v>
      </c>
      <c r="E37" s="32">
        <v>8559.0428849791551</v>
      </c>
      <c r="F37" s="32">
        <f t="shared" ref="F37:F63" si="3">E38</f>
        <v>8585.8750140794491</v>
      </c>
      <c r="G37" s="33">
        <v>662464.43332740897</v>
      </c>
      <c r="H37" s="33">
        <v>1520050.1824720583</v>
      </c>
      <c r="I37" s="33">
        <v>200.78759035737733</v>
      </c>
      <c r="J37" s="33">
        <v>245</v>
      </c>
      <c r="K37" s="30" t="s">
        <v>91</v>
      </c>
    </row>
    <row r="38" spans="1:11" ht="30" customHeight="1" x14ac:dyDescent="0.3">
      <c r="A38" s="24" t="s">
        <v>183</v>
      </c>
      <c r="B38" s="30"/>
      <c r="C38" s="30" t="s">
        <v>30</v>
      </c>
      <c r="D38" s="31">
        <f t="shared" si="2"/>
        <v>27</v>
      </c>
      <c r="E38" s="32">
        <v>8585.8750140794491</v>
      </c>
      <c r="F38" s="32">
        <f t="shared" si="3"/>
        <v>8635.8750140794491</v>
      </c>
      <c r="G38" s="33">
        <v>662453.55721881823</v>
      </c>
      <c r="H38" s="33">
        <v>1520025.6681073885</v>
      </c>
      <c r="I38" s="33">
        <v>207.06256155816271</v>
      </c>
      <c r="J38" s="33">
        <v>245</v>
      </c>
      <c r="K38" s="30" t="s">
        <v>92</v>
      </c>
    </row>
    <row r="39" spans="1:11" ht="30" customHeight="1" x14ac:dyDescent="0.3">
      <c r="A39" s="24" t="s">
        <v>184</v>
      </c>
      <c r="B39" s="30"/>
      <c r="C39" s="30" t="s">
        <v>31</v>
      </c>
      <c r="D39" s="31">
        <f t="shared" si="2"/>
        <v>26</v>
      </c>
      <c r="E39" s="32">
        <v>8635.8750140794491</v>
      </c>
      <c r="F39" s="32">
        <f t="shared" si="3"/>
        <v>8968.273435321109</v>
      </c>
      <c r="G39" s="33">
        <v>662427.84684173099</v>
      </c>
      <c r="H39" s="33">
        <v>1519982.8117942612</v>
      </c>
      <c r="I39" s="33">
        <v>212.90906935073286</v>
      </c>
      <c r="J39" s="33">
        <v>0</v>
      </c>
      <c r="K39" s="30" t="s">
        <v>77</v>
      </c>
    </row>
    <row r="40" spans="1:11" ht="30" customHeight="1" x14ac:dyDescent="0.3">
      <c r="A40" s="24" t="s">
        <v>194</v>
      </c>
      <c r="B40" s="30" t="s">
        <v>2</v>
      </c>
      <c r="C40" s="30" t="s">
        <v>28</v>
      </c>
      <c r="D40" s="31">
        <f t="shared" si="2"/>
        <v>25</v>
      </c>
      <c r="E40" s="32">
        <v>8968.273435321109</v>
      </c>
      <c r="F40" s="32">
        <f t="shared" si="3"/>
        <v>9008.273435321109</v>
      </c>
      <c r="G40" s="33">
        <v>662247.25232190406</v>
      </c>
      <c r="H40" s="33">
        <v>1519703.7520697354</v>
      </c>
      <c r="I40" s="33">
        <v>212.90906935073286</v>
      </c>
      <c r="J40" s="33">
        <v>-280</v>
      </c>
      <c r="K40" s="30" t="s">
        <v>90</v>
      </c>
    </row>
    <row r="41" spans="1:11" ht="30" customHeight="1" x14ac:dyDescent="0.3">
      <c r="A41" s="24" t="s">
        <v>195</v>
      </c>
      <c r="B41" s="30"/>
      <c r="C41" s="30" t="s">
        <v>29</v>
      </c>
      <c r="D41" s="31">
        <f t="shared" si="2"/>
        <v>24</v>
      </c>
      <c r="E41" s="32">
        <v>9008.273435321109</v>
      </c>
      <c r="F41" s="32">
        <f t="shared" si="3"/>
        <v>9066.8498928698264</v>
      </c>
      <c r="G41" s="33">
        <v>662226.33037904894</v>
      </c>
      <c r="H41" s="33">
        <v>1519669.6705964152</v>
      </c>
      <c r="I41" s="33">
        <v>208.81651389593375</v>
      </c>
      <c r="J41" s="33">
        <v>-280</v>
      </c>
      <c r="K41" s="30" t="s">
        <v>91</v>
      </c>
    </row>
    <row r="42" spans="1:11" ht="30" customHeight="1" x14ac:dyDescent="0.3">
      <c r="A42" s="24" t="s">
        <v>196</v>
      </c>
      <c r="B42" s="30"/>
      <c r="C42" s="30" t="s">
        <v>30</v>
      </c>
      <c r="D42" s="31">
        <f t="shared" si="2"/>
        <v>23</v>
      </c>
      <c r="E42" s="32">
        <v>9066.8498928698264</v>
      </c>
      <c r="F42" s="32">
        <f t="shared" si="3"/>
        <v>9106.8498928698264</v>
      </c>
      <c r="G42" s="33">
        <v>662203.65051680419</v>
      </c>
      <c r="H42" s="33">
        <v>1519615.7787649445</v>
      </c>
      <c r="I42" s="33">
        <v>196.83014258894767</v>
      </c>
      <c r="J42" s="33">
        <v>-280</v>
      </c>
      <c r="K42" s="30" t="s">
        <v>92</v>
      </c>
    </row>
    <row r="43" spans="1:11" ht="30" customHeight="1" x14ac:dyDescent="0.3">
      <c r="A43" s="24" t="s">
        <v>197</v>
      </c>
      <c r="B43" s="30"/>
      <c r="C43" s="30" t="s">
        <v>31</v>
      </c>
      <c r="D43" s="31">
        <f t="shared" si="2"/>
        <v>22</v>
      </c>
      <c r="E43" s="32">
        <v>9106.8498928698264</v>
      </c>
      <c r="F43" s="32">
        <f t="shared" si="3"/>
        <v>9132.0377407401102</v>
      </c>
      <c r="G43" s="33">
        <v>662193.90696692758</v>
      </c>
      <c r="H43" s="33">
        <v>1519576.9929717444</v>
      </c>
      <c r="I43" s="33">
        <v>192.73758713414855</v>
      </c>
      <c r="J43" s="33">
        <v>0</v>
      </c>
      <c r="K43" s="30" t="s">
        <v>77</v>
      </c>
    </row>
    <row r="44" spans="1:11" ht="30" customHeight="1" x14ac:dyDescent="0.3">
      <c r="A44" s="24" t="s">
        <v>206</v>
      </c>
      <c r="B44" s="30" t="s">
        <v>17</v>
      </c>
      <c r="C44" s="30" t="s">
        <v>28</v>
      </c>
      <c r="D44" s="31">
        <f t="shared" si="2"/>
        <v>21</v>
      </c>
      <c r="E44" s="32">
        <v>9132.0377407401102</v>
      </c>
      <c r="F44" s="32">
        <f t="shared" si="3"/>
        <v>9172.0377407401102</v>
      </c>
      <c r="G44" s="33">
        <v>662188.35338891053</v>
      </c>
      <c r="H44" s="33">
        <v>1519552.4249956058</v>
      </c>
      <c r="I44" s="33">
        <v>192.73758713414855</v>
      </c>
      <c r="J44" s="33">
        <v>280</v>
      </c>
      <c r="K44" s="30" t="s">
        <v>90</v>
      </c>
    </row>
    <row r="45" spans="1:11" ht="30" customHeight="1" x14ac:dyDescent="0.3">
      <c r="A45" s="24" t="s">
        <v>207</v>
      </c>
      <c r="B45" s="30"/>
      <c r="C45" s="30" t="s">
        <v>29</v>
      </c>
      <c r="D45" s="31">
        <f t="shared" si="2"/>
        <v>20</v>
      </c>
      <c r="E45" s="32">
        <v>9172.0377407401102</v>
      </c>
      <c r="F45" s="32">
        <f t="shared" si="3"/>
        <v>9305.8105857361552</v>
      </c>
      <c r="G45" s="33">
        <v>662178.60983903392</v>
      </c>
      <c r="H45" s="33">
        <v>1519513.6392024057</v>
      </c>
      <c r="I45" s="33">
        <v>196.83014258894767</v>
      </c>
      <c r="J45" s="33">
        <v>280</v>
      </c>
      <c r="K45" s="30" t="s">
        <v>91</v>
      </c>
    </row>
    <row r="46" spans="1:11" ht="30" customHeight="1" x14ac:dyDescent="0.3">
      <c r="A46" s="24" t="s">
        <v>208</v>
      </c>
      <c r="B46" s="30"/>
      <c r="C46" s="30" t="s">
        <v>30</v>
      </c>
      <c r="D46" s="31">
        <f t="shared" si="2"/>
        <v>19</v>
      </c>
      <c r="E46" s="32">
        <v>9305.8105857361552</v>
      </c>
      <c r="F46" s="32">
        <f t="shared" si="3"/>
        <v>9345.8105857361552</v>
      </c>
      <c r="G46" s="33">
        <v>662111.32507465221</v>
      </c>
      <c r="H46" s="33">
        <v>1519399.4896267862</v>
      </c>
      <c r="I46" s="33">
        <v>224.20378414142354</v>
      </c>
      <c r="J46" s="33">
        <v>280</v>
      </c>
      <c r="K46" s="30" t="s">
        <v>92</v>
      </c>
    </row>
    <row r="47" spans="1:11" ht="30" customHeight="1" x14ac:dyDescent="0.3">
      <c r="A47" s="24" t="s">
        <v>209</v>
      </c>
      <c r="B47" s="30"/>
      <c r="C47" s="30" t="s">
        <v>31</v>
      </c>
      <c r="D47" s="31">
        <f t="shared" si="2"/>
        <v>18</v>
      </c>
      <c r="E47" s="32">
        <v>9345.8105857361552</v>
      </c>
      <c r="F47" s="32">
        <f t="shared" si="3"/>
        <v>9372.8740936811646</v>
      </c>
      <c r="G47" s="33">
        <v>662082.1098485603</v>
      </c>
      <c r="H47" s="33">
        <v>1519372.1812932431</v>
      </c>
      <c r="I47" s="33">
        <v>228.29633959622265</v>
      </c>
      <c r="J47" s="33">
        <v>0</v>
      </c>
      <c r="K47" s="30" t="s">
        <v>77</v>
      </c>
    </row>
    <row r="48" spans="1:11" ht="30" customHeight="1" x14ac:dyDescent="0.3">
      <c r="A48" s="24" t="s">
        <v>219</v>
      </c>
      <c r="B48" s="30" t="s">
        <v>18</v>
      </c>
      <c r="C48" s="30" t="s">
        <v>28</v>
      </c>
      <c r="D48" s="31">
        <f t="shared" si="2"/>
        <v>17</v>
      </c>
      <c r="E48" s="32">
        <v>9372.8740936811646</v>
      </c>
      <c r="F48" s="32">
        <f t="shared" si="3"/>
        <v>9422.8740936811646</v>
      </c>
      <c r="G48" s="33">
        <v>662061.90433954704</v>
      </c>
      <c r="H48" s="33">
        <v>1519354.1765475408</v>
      </c>
      <c r="I48" s="33">
        <v>228.29633959622265</v>
      </c>
      <c r="J48" s="33">
        <v>-450</v>
      </c>
      <c r="K48" s="30" t="s">
        <v>90</v>
      </c>
    </row>
    <row r="49" spans="1:11" ht="30" customHeight="1" x14ac:dyDescent="0.3">
      <c r="A49" s="24" t="s">
        <v>220</v>
      </c>
      <c r="B49" s="30"/>
      <c r="C49" s="30" t="s">
        <v>29</v>
      </c>
      <c r="D49" s="31">
        <f t="shared" si="2"/>
        <v>16</v>
      </c>
      <c r="E49" s="32">
        <v>9422.8740936811646</v>
      </c>
      <c r="F49" s="32">
        <f t="shared" si="3"/>
        <v>9492.6123664099578</v>
      </c>
      <c r="G49" s="33">
        <v>662025.20193881437</v>
      </c>
      <c r="H49" s="33">
        <v>1519320.2317690186</v>
      </c>
      <c r="I49" s="33">
        <v>225.11324090915667</v>
      </c>
      <c r="J49" s="33">
        <v>-450</v>
      </c>
      <c r="K49" s="30" t="s">
        <v>91</v>
      </c>
    </row>
    <row r="50" spans="1:11" ht="30" customHeight="1" x14ac:dyDescent="0.3">
      <c r="A50" s="24" t="s">
        <v>221</v>
      </c>
      <c r="B50" s="30"/>
      <c r="C50" s="30" t="s">
        <v>30</v>
      </c>
      <c r="D50" s="31">
        <f t="shared" si="2"/>
        <v>15</v>
      </c>
      <c r="E50" s="32">
        <v>9492.6123664099578</v>
      </c>
      <c r="F50" s="32">
        <f t="shared" si="3"/>
        <v>9542.6123664099578</v>
      </c>
      <c r="G50" s="33">
        <v>661979.79559320793</v>
      </c>
      <c r="H50" s="33">
        <v>1519267.3927253161</v>
      </c>
      <c r="I50" s="33">
        <v>216.23388777953261</v>
      </c>
      <c r="J50" s="33">
        <v>-450</v>
      </c>
      <c r="K50" s="30" t="s">
        <v>92</v>
      </c>
    </row>
    <row r="51" spans="1:11" ht="30" customHeight="1" x14ac:dyDescent="0.3">
      <c r="A51" s="24" t="s">
        <v>222</v>
      </c>
      <c r="B51" s="30"/>
      <c r="C51" s="30" t="s">
        <v>31</v>
      </c>
      <c r="D51" s="31">
        <f t="shared" si="2"/>
        <v>14</v>
      </c>
      <c r="E51" s="32">
        <v>9542.6123664099578</v>
      </c>
      <c r="F51" s="32">
        <f t="shared" si="3"/>
        <v>9567.6124449940617</v>
      </c>
      <c r="G51" s="33">
        <v>661951.75896870089</v>
      </c>
      <c r="H51" s="33">
        <v>1519226.0011573709</v>
      </c>
      <c r="I51" s="33">
        <v>213.05078909246663</v>
      </c>
      <c r="J51" s="33">
        <v>0</v>
      </c>
      <c r="K51" s="30" t="s">
        <v>77</v>
      </c>
    </row>
    <row r="52" spans="1:11" ht="30" customHeight="1" x14ac:dyDescent="0.3">
      <c r="A52" s="24" t="s">
        <v>232</v>
      </c>
      <c r="B52" s="30" t="s">
        <v>19</v>
      </c>
      <c r="C52" s="30" t="s">
        <v>28</v>
      </c>
      <c r="D52" s="31">
        <f t="shared" si="2"/>
        <v>13</v>
      </c>
      <c r="E52" s="32">
        <v>9567.6124449940617</v>
      </c>
      <c r="F52" s="32">
        <f t="shared" si="3"/>
        <v>9592.6124449940617</v>
      </c>
      <c r="G52" s="33">
        <v>661938.1243627019</v>
      </c>
      <c r="H52" s="33">
        <v>1519205.0464097355</v>
      </c>
      <c r="I52" s="33">
        <v>213.05078909246663</v>
      </c>
      <c r="J52" s="33">
        <v>700</v>
      </c>
      <c r="K52" s="30" t="s">
        <v>90</v>
      </c>
    </row>
    <row r="53" spans="1:11" ht="30" customHeight="1" x14ac:dyDescent="0.3">
      <c r="A53" s="24" t="s">
        <v>233</v>
      </c>
      <c r="B53" s="30"/>
      <c r="C53" s="30" t="s">
        <v>29</v>
      </c>
      <c r="D53" s="31">
        <f t="shared" si="2"/>
        <v>12</v>
      </c>
      <c r="E53" s="32">
        <v>9592.6124449940617</v>
      </c>
      <c r="F53" s="32">
        <f t="shared" si="3"/>
        <v>9618.2924341704329</v>
      </c>
      <c r="G53" s="33">
        <v>661924.36551440007</v>
      </c>
      <c r="H53" s="33">
        <v>1519184.1735474905</v>
      </c>
      <c r="I53" s="33">
        <v>214.07392795616641</v>
      </c>
      <c r="J53" s="33">
        <v>700</v>
      </c>
      <c r="K53" s="30" t="s">
        <v>91</v>
      </c>
    </row>
    <row r="54" spans="1:11" ht="30" customHeight="1" x14ac:dyDescent="0.3">
      <c r="A54" s="24" t="s">
        <v>234</v>
      </c>
      <c r="B54" s="30"/>
      <c r="C54" s="30" t="s">
        <v>30</v>
      </c>
      <c r="D54" s="31">
        <f t="shared" si="2"/>
        <v>11</v>
      </c>
      <c r="E54" s="32">
        <v>9618.2924341704329</v>
      </c>
      <c r="F54" s="32">
        <f t="shared" si="3"/>
        <v>9643.2924341704329</v>
      </c>
      <c r="G54" s="33">
        <v>661909.59108709346</v>
      </c>
      <c r="H54" s="33">
        <v>1519163.1710670583</v>
      </c>
      <c r="I54" s="33">
        <v>216.17586381172146</v>
      </c>
      <c r="J54" s="33">
        <v>700</v>
      </c>
      <c r="K54" s="30" t="s">
        <v>92</v>
      </c>
    </row>
    <row r="55" spans="1:11" ht="30" customHeight="1" x14ac:dyDescent="0.3">
      <c r="A55" s="24" t="s">
        <v>235</v>
      </c>
      <c r="B55" s="30"/>
      <c r="C55" s="30" t="s">
        <v>31</v>
      </c>
      <c r="D55" s="31">
        <f t="shared" si="2"/>
        <v>10</v>
      </c>
      <c r="E55" s="32">
        <v>9643.2924341704329</v>
      </c>
      <c r="F55" s="32">
        <f t="shared" si="3"/>
        <v>9713.1414571010737</v>
      </c>
      <c r="G55" s="33">
        <v>661894.59546850319</v>
      </c>
      <c r="H55" s="33">
        <v>1519143.1682245652</v>
      </c>
      <c r="I55" s="33">
        <v>217.19900267542124</v>
      </c>
      <c r="J55" s="33">
        <v>0</v>
      </c>
      <c r="K55" s="30" t="s">
        <v>77</v>
      </c>
    </row>
    <row r="56" spans="1:11" ht="30" customHeight="1" x14ac:dyDescent="0.3">
      <c r="A56" s="24" t="s">
        <v>245</v>
      </c>
      <c r="B56" s="30" t="s">
        <v>20</v>
      </c>
      <c r="C56" s="30" t="s">
        <v>28</v>
      </c>
      <c r="D56" s="31">
        <f t="shared" si="2"/>
        <v>9</v>
      </c>
      <c r="E56" s="32">
        <v>9713.1414571010737</v>
      </c>
      <c r="F56" s="32">
        <f t="shared" si="3"/>
        <v>9768.1414571010737</v>
      </c>
      <c r="G56" s="33">
        <v>661852.36577113776</v>
      </c>
      <c r="H56" s="33">
        <v>1519087.5306593347</v>
      </c>
      <c r="I56" s="33">
        <v>217.19900267542124</v>
      </c>
      <c r="J56" s="33">
        <v>-450</v>
      </c>
      <c r="K56" s="30" t="s">
        <v>90</v>
      </c>
    </row>
    <row r="57" spans="1:11" ht="30" customHeight="1" x14ac:dyDescent="0.3">
      <c r="A57" s="24" t="s">
        <v>246</v>
      </c>
      <c r="B57" s="30"/>
      <c r="C57" s="30" t="s">
        <v>29</v>
      </c>
      <c r="D57" s="31">
        <f t="shared" si="2"/>
        <v>8</v>
      </c>
      <c r="E57" s="32">
        <v>9768.1414571010737</v>
      </c>
      <c r="F57" s="32">
        <f t="shared" si="3"/>
        <v>9828.8510452254632</v>
      </c>
      <c r="G57" s="33">
        <v>661820.01818209724</v>
      </c>
      <c r="H57" s="33">
        <v>1519043.0601135679</v>
      </c>
      <c r="I57" s="33">
        <v>213.69759411964867</v>
      </c>
      <c r="J57" s="33">
        <v>-450</v>
      </c>
      <c r="K57" s="30" t="s">
        <v>91</v>
      </c>
    </row>
    <row r="58" spans="1:11" ht="30" customHeight="1" x14ac:dyDescent="0.3">
      <c r="A58" s="24" t="s">
        <v>247</v>
      </c>
      <c r="B58" s="30"/>
      <c r="C58" s="30" t="s">
        <v>30</v>
      </c>
      <c r="D58" s="31">
        <f t="shared" si="2"/>
        <v>7</v>
      </c>
      <c r="E58" s="32">
        <v>9828.8510452254632</v>
      </c>
      <c r="F58" s="32">
        <f t="shared" si="3"/>
        <v>9883.8510452254632</v>
      </c>
      <c r="G58" s="33">
        <v>661789.83993433777</v>
      </c>
      <c r="H58" s="33">
        <v>1518990.4355879133</v>
      </c>
      <c r="I58" s="33">
        <v>205.96780878657069</v>
      </c>
      <c r="J58" s="33">
        <v>-450</v>
      </c>
      <c r="K58" s="30" t="s">
        <v>92</v>
      </c>
    </row>
    <row r="59" spans="1:11" ht="30" customHeight="1" x14ac:dyDescent="0.3">
      <c r="A59" s="24" t="s">
        <v>248</v>
      </c>
      <c r="B59" s="30"/>
      <c r="C59" s="30" t="s">
        <v>31</v>
      </c>
      <c r="D59" s="31">
        <f t="shared" si="2"/>
        <v>6</v>
      </c>
      <c r="E59" s="32">
        <v>9883.8510452254632</v>
      </c>
      <c r="F59" s="32">
        <f t="shared" si="3"/>
        <v>9908.8511107039594</v>
      </c>
      <c r="G59" s="33">
        <v>661767.79493438546</v>
      </c>
      <c r="H59" s="33">
        <v>1518940.056882713</v>
      </c>
      <c r="I59" s="33">
        <v>202.46640023079811</v>
      </c>
      <c r="J59" s="33">
        <v>0</v>
      </c>
      <c r="K59" s="30" t="s">
        <v>77</v>
      </c>
    </row>
    <row r="60" spans="1:11" ht="30" customHeight="1" x14ac:dyDescent="0.3">
      <c r="A60" s="24" t="s">
        <v>258</v>
      </c>
      <c r="B60" s="30" t="s">
        <v>21</v>
      </c>
      <c r="C60" s="30" t="s">
        <v>28</v>
      </c>
      <c r="D60" s="31">
        <f t="shared" si="2"/>
        <v>5</v>
      </c>
      <c r="E60" s="32">
        <v>9908.8511107039594</v>
      </c>
      <c r="F60" s="32">
        <f t="shared" si="3"/>
        <v>9938.8511107039594</v>
      </c>
      <c r="G60" s="33">
        <v>661758.24136347196</v>
      </c>
      <c r="H60" s="33">
        <v>1518916.9542301223</v>
      </c>
      <c r="I60" s="33">
        <v>202.46640023079811</v>
      </c>
      <c r="J60" s="33">
        <v>-830</v>
      </c>
      <c r="K60" s="30" t="s">
        <v>90</v>
      </c>
    </row>
    <row r="61" spans="1:11" ht="30" customHeight="1" x14ac:dyDescent="0.3">
      <c r="A61" s="24" t="s">
        <v>259</v>
      </c>
      <c r="B61" s="30"/>
      <c r="C61" s="30" t="s">
        <v>29</v>
      </c>
      <c r="D61" s="31">
        <f t="shared" si="2"/>
        <v>4</v>
      </c>
      <c r="E61" s="32">
        <v>9938.8511107039594</v>
      </c>
      <c r="F61" s="32">
        <f t="shared" si="3"/>
        <v>9969.2965992767367</v>
      </c>
      <c r="G61" s="33">
        <v>661746.94449409994</v>
      </c>
      <c r="H61" s="33">
        <v>1518889.1629614579</v>
      </c>
      <c r="I61" s="33">
        <v>201.43093439283689</v>
      </c>
      <c r="J61" s="33">
        <v>-830</v>
      </c>
      <c r="K61" s="30" t="s">
        <v>91</v>
      </c>
    </row>
    <row r="62" spans="1:11" ht="30" customHeight="1" x14ac:dyDescent="0.3">
      <c r="A62" s="24" t="s">
        <v>260</v>
      </c>
      <c r="B62" s="30"/>
      <c r="C62" s="30" t="s">
        <v>30</v>
      </c>
      <c r="D62" s="31">
        <f t="shared" si="2"/>
        <v>3</v>
      </c>
      <c r="E62" s="32">
        <v>9969.2965992767367</v>
      </c>
      <c r="F62" s="32">
        <f t="shared" si="3"/>
        <v>9999.2965992767367</v>
      </c>
      <c r="G62" s="33">
        <v>661736.34255868278</v>
      </c>
      <c r="H62" s="33">
        <v>1518860.6248674204</v>
      </c>
      <c r="I62" s="33">
        <v>199.32924990893508</v>
      </c>
      <c r="J62" s="33">
        <v>-830</v>
      </c>
      <c r="K62" s="30" t="s">
        <v>92</v>
      </c>
    </row>
    <row r="63" spans="1:11" ht="30" customHeight="1" x14ac:dyDescent="0.3">
      <c r="A63" s="24" t="s">
        <v>261</v>
      </c>
      <c r="B63" s="30"/>
      <c r="C63" s="30" t="s">
        <v>31</v>
      </c>
      <c r="D63" s="31">
        <f t="shared" si="2"/>
        <v>2</v>
      </c>
      <c r="E63" s="32">
        <v>9999.2965992767367</v>
      </c>
      <c r="F63" s="32">
        <f t="shared" si="3"/>
        <v>10324.339349976852</v>
      </c>
      <c r="G63" s="33">
        <v>661726.75459835248</v>
      </c>
      <c r="H63" s="33">
        <v>1518832.1987370374</v>
      </c>
      <c r="I63" s="33">
        <v>198.29378407097386</v>
      </c>
      <c r="J63" s="33">
        <v>0</v>
      </c>
      <c r="K63" s="30" t="s">
        <v>77</v>
      </c>
    </row>
    <row r="64" spans="1:11" ht="30" customHeight="1" x14ac:dyDescent="0.3">
      <c r="A64" s="24" t="s">
        <v>263</v>
      </c>
      <c r="B64" s="30" t="s">
        <v>35</v>
      </c>
      <c r="C64" s="30" t="s">
        <v>33</v>
      </c>
      <c r="D64" s="31">
        <f t="shared" si="2"/>
        <v>1</v>
      </c>
      <c r="E64" s="32">
        <v>10324.339349976852</v>
      </c>
      <c r="F64" s="32">
        <f>E64+0.002</f>
        <v>10324.341349976852</v>
      </c>
      <c r="G64" s="33">
        <v>661624.72710000002</v>
      </c>
      <c r="H64" s="33">
        <v>1518523.5837999999</v>
      </c>
      <c r="I64" s="33">
        <v>198.29378407097386</v>
      </c>
      <c r="J64" s="33">
        <v>0</v>
      </c>
      <c r="K64" s="30" t="s">
        <v>77</v>
      </c>
    </row>
  </sheetData>
  <mergeCells count="2">
    <mergeCell ref="C2:E2"/>
    <mergeCell ref="B3:L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FDA7-FFA8-4949-8A3E-94ECA0F27697}">
  <sheetPr codeName="Sheet8"/>
  <dimension ref="A2:T38"/>
  <sheetViews>
    <sheetView zoomScaleNormal="100" workbookViewId="0">
      <selection activeCell="M1" sqref="M1:T1048576"/>
    </sheetView>
  </sheetViews>
  <sheetFormatPr defaultRowHeight="19.95" customHeight="1" x14ac:dyDescent="0.3"/>
  <cols>
    <col min="1" max="1" width="8.88671875" style="21"/>
    <col min="2" max="2" width="15.77734375" style="21" customWidth="1"/>
    <col min="3" max="3" width="8.77734375" style="21" customWidth="1"/>
    <col min="4" max="8" width="15.77734375" style="21" customWidth="1"/>
    <col min="9" max="9" width="20.77734375" style="21" customWidth="1"/>
    <col min="10" max="11" width="15.77734375" style="21" customWidth="1"/>
    <col min="12" max="12" width="8.88671875" style="21"/>
    <col min="13" max="20" width="8.88671875" style="29"/>
    <col min="21" max="16384" width="8.88671875" style="21"/>
  </cols>
  <sheetData>
    <row r="2" spans="1:11" ht="19.95" customHeight="1" x14ac:dyDescent="0.3">
      <c r="B2" s="22" t="s">
        <v>41</v>
      </c>
      <c r="C2" s="35" t="s">
        <v>36</v>
      </c>
      <c r="D2" s="35"/>
      <c r="E2" s="35"/>
    </row>
    <row r="3" spans="1:11" ht="30" customHeight="1" x14ac:dyDescent="0.3">
      <c r="B3" s="34" t="s">
        <v>264</v>
      </c>
      <c r="C3" s="34"/>
      <c r="D3" s="34"/>
      <c r="E3" s="34"/>
      <c r="F3" s="34"/>
      <c r="G3" s="34"/>
      <c r="H3" s="34"/>
      <c r="I3" s="34"/>
      <c r="J3" s="34"/>
      <c r="K3" s="34"/>
    </row>
    <row r="4" spans="1:11" ht="19.95" customHeight="1" x14ac:dyDescent="0.3">
      <c r="B4" s="22"/>
      <c r="C4" s="36" t="s">
        <v>265</v>
      </c>
      <c r="D4" s="36"/>
      <c r="E4" s="36"/>
      <c r="F4" s="36" t="s">
        <v>266</v>
      </c>
      <c r="G4" s="36"/>
      <c r="H4" s="36"/>
      <c r="I4" s="36"/>
      <c r="J4" s="36"/>
      <c r="K4" s="22"/>
    </row>
    <row r="5" spans="1:11" ht="19.95" customHeight="1" x14ac:dyDescent="0.3">
      <c r="B5" s="22" t="s">
        <v>267</v>
      </c>
      <c r="C5" s="22" t="s">
        <v>46</v>
      </c>
      <c r="D5" s="22" t="s">
        <v>47</v>
      </c>
      <c r="E5" s="22" t="s">
        <v>268</v>
      </c>
      <c r="F5" s="22" t="s">
        <v>269</v>
      </c>
      <c r="G5" s="22" t="s">
        <v>270</v>
      </c>
      <c r="H5" s="22" t="s">
        <v>271</v>
      </c>
      <c r="I5" s="22" t="s">
        <v>272</v>
      </c>
      <c r="J5" s="22" t="s">
        <v>273</v>
      </c>
      <c r="K5" s="22" t="s">
        <v>70</v>
      </c>
    </row>
    <row r="6" spans="1:11" ht="19.95" customHeight="1" x14ac:dyDescent="0.3">
      <c r="B6" s="22"/>
      <c r="C6" s="22"/>
      <c r="D6" s="22" t="s">
        <v>55</v>
      </c>
      <c r="E6" s="22" t="s">
        <v>55</v>
      </c>
      <c r="F6" s="22" t="s">
        <v>274</v>
      </c>
      <c r="G6" s="22" t="s">
        <v>274</v>
      </c>
      <c r="H6" s="22" t="s">
        <v>55</v>
      </c>
      <c r="I6" s="22" t="s">
        <v>55</v>
      </c>
      <c r="J6" s="22" t="s">
        <v>55</v>
      </c>
      <c r="K6" s="22"/>
    </row>
    <row r="7" spans="1:11" ht="19.95" customHeight="1" x14ac:dyDescent="0.3">
      <c r="A7" s="21" t="s">
        <v>76</v>
      </c>
      <c r="B7" s="26" t="s">
        <v>35</v>
      </c>
      <c r="C7" s="26" t="s">
        <v>27</v>
      </c>
      <c r="D7" s="27">
        <v>7202.8339999999998</v>
      </c>
      <c r="E7" s="29">
        <v>67.2</v>
      </c>
      <c r="F7" s="29">
        <v>0</v>
      </c>
      <c r="G7" s="29">
        <v>0</v>
      </c>
    </row>
    <row r="8" spans="1:11" ht="19.95" customHeight="1" x14ac:dyDescent="0.3">
      <c r="A8" s="21" t="s">
        <v>79</v>
      </c>
      <c r="C8" s="26" t="s">
        <v>281</v>
      </c>
      <c r="D8" s="27">
        <v>7235.4389000000001</v>
      </c>
      <c r="E8" s="29">
        <v>67.2</v>
      </c>
      <c r="F8" s="29">
        <v>0</v>
      </c>
      <c r="G8" s="29">
        <v>3.1602443836330272</v>
      </c>
    </row>
    <row r="9" spans="1:11" ht="19.95" customHeight="1" x14ac:dyDescent="0.3">
      <c r="A9" s="21" t="s">
        <v>81</v>
      </c>
      <c r="B9" s="26" t="s">
        <v>9</v>
      </c>
      <c r="C9" s="26" t="s">
        <v>282</v>
      </c>
      <c r="D9" s="27">
        <v>7280.4389000000001</v>
      </c>
      <c r="E9" s="29">
        <v>67.2</v>
      </c>
      <c r="F9" s="29"/>
      <c r="G9" s="29"/>
      <c r="H9" s="29">
        <v>90</v>
      </c>
      <c r="I9" s="29">
        <v>0</v>
      </c>
      <c r="J9" s="29">
        <v>0</v>
      </c>
    </row>
    <row r="10" spans="1:11" ht="19.95" customHeight="1" x14ac:dyDescent="0.3">
      <c r="A10" s="21" t="s">
        <v>85</v>
      </c>
      <c r="C10" s="26" t="s">
        <v>283</v>
      </c>
      <c r="D10" s="27">
        <v>7325.4389000000001</v>
      </c>
      <c r="E10" s="29">
        <v>68.62210997263486</v>
      </c>
      <c r="F10" s="29">
        <v>3.1602443836330272</v>
      </c>
      <c r="G10" s="29">
        <v>3.1602443836330272</v>
      </c>
    </row>
    <row r="11" spans="1:11" ht="19.95" customHeight="1" x14ac:dyDescent="0.3">
      <c r="A11" s="21" t="s">
        <v>285</v>
      </c>
      <c r="C11" s="26" t="s">
        <v>281</v>
      </c>
      <c r="D11" s="27">
        <v>7555.5415000000003</v>
      </c>
      <c r="E11" s="29">
        <v>75.893914465728443</v>
      </c>
      <c r="F11" s="29">
        <v>3.1602443836330272</v>
      </c>
      <c r="G11" s="29">
        <v>0</v>
      </c>
    </row>
    <row r="12" spans="1:11" ht="19.95" customHeight="1" x14ac:dyDescent="0.3">
      <c r="A12" s="21" t="s">
        <v>103</v>
      </c>
      <c r="B12" s="26" t="s">
        <v>10</v>
      </c>
      <c r="C12" s="26" t="s">
        <v>282</v>
      </c>
      <c r="D12" s="27">
        <v>7590.5415000000003</v>
      </c>
      <c r="E12" s="29">
        <v>77</v>
      </c>
      <c r="F12" s="29"/>
      <c r="G12" s="29"/>
      <c r="H12" s="29">
        <v>70</v>
      </c>
      <c r="I12" s="29">
        <v>0</v>
      </c>
      <c r="J12" s="29">
        <v>0</v>
      </c>
    </row>
    <row r="13" spans="1:11" ht="19.95" customHeight="1" x14ac:dyDescent="0.3">
      <c r="A13" s="21" t="s">
        <v>93</v>
      </c>
      <c r="C13" s="26" t="s">
        <v>283</v>
      </c>
      <c r="D13" s="27">
        <v>7625.5415000000003</v>
      </c>
      <c r="E13" s="29">
        <v>77</v>
      </c>
      <c r="F13" s="29">
        <v>0</v>
      </c>
      <c r="G13" s="29">
        <v>0</v>
      </c>
    </row>
    <row r="14" spans="1:11" ht="19.95" customHeight="1" x14ac:dyDescent="0.3">
      <c r="A14" s="21" t="s">
        <v>287</v>
      </c>
      <c r="C14" s="26" t="s">
        <v>281</v>
      </c>
      <c r="D14" s="27">
        <v>7681.6205</v>
      </c>
      <c r="E14" s="29">
        <v>77</v>
      </c>
      <c r="F14" s="29">
        <v>0</v>
      </c>
      <c r="G14" s="29">
        <v>0.77500004843750181</v>
      </c>
    </row>
    <row r="15" spans="1:11" ht="19.95" customHeight="1" x14ac:dyDescent="0.3">
      <c r="A15" s="21" t="s">
        <v>288</v>
      </c>
      <c r="B15" s="26" t="s">
        <v>11</v>
      </c>
      <c r="C15" s="26" t="s">
        <v>282</v>
      </c>
      <c r="D15" s="27">
        <v>7706.6205</v>
      </c>
      <c r="E15" s="29">
        <v>77</v>
      </c>
      <c r="F15" s="29"/>
      <c r="G15" s="29"/>
      <c r="H15" s="29">
        <v>50</v>
      </c>
      <c r="I15" s="29">
        <v>0</v>
      </c>
      <c r="J15" s="29">
        <v>0</v>
      </c>
    </row>
    <row r="16" spans="1:11" ht="19.95" customHeight="1" x14ac:dyDescent="0.3">
      <c r="A16" s="21" t="s">
        <v>113</v>
      </c>
      <c r="C16" s="26" t="s">
        <v>283</v>
      </c>
      <c r="D16" s="27">
        <v>7731.6205</v>
      </c>
      <c r="E16" s="29">
        <v>77.193750012109376</v>
      </c>
      <c r="F16" s="29">
        <v>0.77500004843750181</v>
      </c>
      <c r="G16" s="29">
        <v>0.77500004843750181</v>
      </c>
    </row>
    <row r="17" spans="1:10" ht="19.95" customHeight="1" x14ac:dyDescent="0.3">
      <c r="A17" s="21" t="s">
        <v>291</v>
      </c>
      <c r="C17" s="26" t="s">
        <v>281</v>
      </c>
      <c r="D17" s="27">
        <v>7929.6850000000004</v>
      </c>
      <c r="E17" s="29">
        <v>78.728749983046868</v>
      </c>
      <c r="F17" s="29">
        <v>0.77500004843750181</v>
      </c>
      <c r="G17" s="29">
        <v>0</v>
      </c>
    </row>
    <row r="18" spans="1:10" ht="19.95" customHeight="1" x14ac:dyDescent="0.3">
      <c r="A18" s="21" t="s">
        <v>292</v>
      </c>
      <c r="B18" s="26" t="s">
        <v>12</v>
      </c>
      <c r="C18" s="26" t="s">
        <v>282</v>
      </c>
      <c r="D18" s="27">
        <v>7964.6850000000004</v>
      </c>
      <c r="E18" s="29">
        <v>79</v>
      </c>
      <c r="F18" s="29"/>
      <c r="G18" s="29"/>
      <c r="H18" s="29">
        <v>70</v>
      </c>
      <c r="I18" s="29">
        <v>0</v>
      </c>
      <c r="J18" s="29">
        <v>0</v>
      </c>
    </row>
    <row r="19" spans="1:10" ht="19.95" customHeight="1" x14ac:dyDescent="0.3">
      <c r="A19" s="21" t="s">
        <v>293</v>
      </c>
      <c r="C19" s="26" t="s">
        <v>283</v>
      </c>
      <c r="D19" s="27">
        <v>7999.6850000000004</v>
      </c>
      <c r="E19" s="29">
        <v>79</v>
      </c>
      <c r="F19" s="29">
        <v>0</v>
      </c>
      <c r="G19" s="29">
        <v>0</v>
      </c>
    </row>
    <row r="20" spans="1:10" ht="19.95" customHeight="1" x14ac:dyDescent="0.3">
      <c r="A20" s="21" t="s">
        <v>296</v>
      </c>
      <c r="C20" s="26" t="s">
        <v>281</v>
      </c>
      <c r="D20" s="27">
        <v>8370.0452999999998</v>
      </c>
      <c r="E20" s="29">
        <v>79</v>
      </c>
      <c r="F20" s="29">
        <v>0</v>
      </c>
      <c r="G20" s="29">
        <v>-3.4999904130665866</v>
      </c>
    </row>
    <row r="21" spans="1:10" ht="19.95" customHeight="1" x14ac:dyDescent="0.3">
      <c r="A21" s="21" t="s">
        <v>297</v>
      </c>
      <c r="B21" s="26" t="s">
        <v>13</v>
      </c>
      <c r="C21" s="26" t="s">
        <v>282</v>
      </c>
      <c r="D21" s="27">
        <v>8420.0452999999998</v>
      </c>
      <c r="E21" s="29">
        <v>79</v>
      </c>
      <c r="F21" s="29"/>
      <c r="G21" s="29"/>
      <c r="H21" s="29">
        <v>100</v>
      </c>
      <c r="I21" s="29">
        <v>0</v>
      </c>
      <c r="J21" s="29">
        <v>0</v>
      </c>
    </row>
    <row r="22" spans="1:10" ht="19.95" customHeight="1" x14ac:dyDescent="0.3">
      <c r="A22" s="21" t="s">
        <v>298</v>
      </c>
      <c r="C22" s="26" t="s">
        <v>283</v>
      </c>
      <c r="D22" s="27">
        <v>8470.0452999999998</v>
      </c>
      <c r="E22" s="29">
        <v>77.250004793466701</v>
      </c>
      <c r="F22" s="29">
        <v>-3.4999904130665866</v>
      </c>
      <c r="G22" s="29">
        <v>-3.4999904130665866</v>
      </c>
    </row>
    <row r="23" spans="1:10" ht="19.95" customHeight="1" x14ac:dyDescent="0.3">
      <c r="A23" s="21" t="s">
        <v>301</v>
      </c>
      <c r="C23" s="26" t="s">
        <v>281</v>
      </c>
      <c r="D23" s="27">
        <v>8681.4632000000001</v>
      </c>
      <c r="E23" s="29">
        <v>69.850398561959992</v>
      </c>
      <c r="F23" s="29">
        <v>-3.4999904130665866</v>
      </c>
      <c r="G23" s="29">
        <v>-2.9700089112567607</v>
      </c>
    </row>
    <row r="24" spans="1:10" ht="19.95" customHeight="1" x14ac:dyDescent="0.3">
      <c r="A24" s="21" t="s">
        <v>302</v>
      </c>
      <c r="B24" s="26" t="s">
        <v>14</v>
      </c>
      <c r="C24" s="26" t="s">
        <v>282</v>
      </c>
      <c r="D24" s="27">
        <v>8696.4632000000001</v>
      </c>
      <c r="E24" s="29">
        <v>69.325400000000002</v>
      </c>
      <c r="F24" s="29"/>
      <c r="G24" s="29"/>
      <c r="H24" s="29">
        <v>30</v>
      </c>
      <c r="I24" s="29">
        <v>0</v>
      </c>
      <c r="J24" s="29">
        <v>0</v>
      </c>
    </row>
    <row r="25" spans="1:10" ht="19.95" customHeight="1" x14ac:dyDescent="0.3">
      <c r="A25" s="21" t="s">
        <v>303</v>
      </c>
      <c r="C25" s="26" t="s">
        <v>283</v>
      </c>
      <c r="D25" s="27">
        <v>8711.4632000000001</v>
      </c>
      <c r="E25" s="29">
        <v>68.879898663311494</v>
      </c>
      <c r="F25" s="29">
        <v>-2.9700089112567607</v>
      </c>
      <c r="G25" s="29">
        <v>-2.9700089112567607</v>
      </c>
    </row>
    <row r="26" spans="1:10" ht="19.95" customHeight="1" x14ac:dyDescent="0.3">
      <c r="A26" s="21" t="s">
        <v>306</v>
      </c>
      <c r="C26" s="26" t="s">
        <v>281</v>
      </c>
      <c r="D26" s="27">
        <v>8940.3983000000007</v>
      </c>
      <c r="E26" s="29">
        <v>62.080505792316892</v>
      </c>
      <c r="F26" s="29">
        <v>-2.9700089112567607</v>
      </c>
      <c r="G26" s="29">
        <v>0</v>
      </c>
    </row>
    <row r="27" spans="1:10" ht="19.95" customHeight="1" x14ac:dyDescent="0.3">
      <c r="A27" s="21" t="s">
        <v>307</v>
      </c>
      <c r="B27" s="26" t="s">
        <v>15</v>
      </c>
      <c r="C27" s="26" t="s">
        <v>282</v>
      </c>
      <c r="D27" s="27">
        <v>9005.3983000000007</v>
      </c>
      <c r="E27" s="29">
        <v>60.15</v>
      </c>
      <c r="F27" s="29"/>
      <c r="G27" s="29"/>
      <c r="H27" s="29">
        <v>130</v>
      </c>
      <c r="I27" s="29">
        <v>0</v>
      </c>
      <c r="J27" s="29">
        <v>0</v>
      </c>
    </row>
    <row r="28" spans="1:10" ht="19.95" customHeight="1" x14ac:dyDescent="0.3">
      <c r="A28" s="21" t="s">
        <v>308</v>
      </c>
      <c r="C28" s="26" t="s">
        <v>283</v>
      </c>
      <c r="D28" s="27">
        <v>9070.3983000000007</v>
      </c>
      <c r="E28" s="29">
        <v>60.15</v>
      </c>
      <c r="F28" s="29">
        <v>0</v>
      </c>
      <c r="G28" s="29">
        <v>0</v>
      </c>
    </row>
    <row r="29" spans="1:10" ht="19.95" customHeight="1" x14ac:dyDescent="0.3">
      <c r="A29" s="21" t="s">
        <v>311</v>
      </c>
      <c r="C29" s="26" t="s">
        <v>281</v>
      </c>
      <c r="D29" s="27">
        <v>9129.3547999999992</v>
      </c>
      <c r="E29" s="29">
        <v>60.15</v>
      </c>
      <c r="F29" s="29">
        <v>0</v>
      </c>
      <c r="G29" s="29">
        <v>0.26025641296382518</v>
      </c>
    </row>
    <row r="30" spans="1:10" ht="19.95" customHeight="1" x14ac:dyDescent="0.3">
      <c r="A30" s="21" t="s">
        <v>312</v>
      </c>
      <c r="B30" s="26" t="s">
        <v>16</v>
      </c>
      <c r="C30" s="26" t="s">
        <v>282</v>
      </c>
      <c r="D30" s="27">
        <v>9154.3547999999992</v>
      </c>
      <c r="E30" s="29">
        <v>60.15</v>
      </c>
      <c r="F30" s="29"/>
      <c r="G30" s="29"/>
      <c r="H30" s="29">
        <v>50</v>
      </c>
      <c r="I30" s="29">
        <v>0</v>
      </c>
      <c r="J30" s="29">
        <v>0</v>
      </c>
    </row>
    <row r="31" spans="1:10" ht="19.95" customHeight="1" x14ac:dyDescent="0.3">
      <c r="A31" s="21" t="s">
        <v>313</v>
      </c>
      <c r="C31" s="26" t="s">
        <v>283</v>
      </c>
      <c r="D31" s="27">
        <v>9179.3547999999992</v>
      </c>
      <c r="E31" s="29">
        <v>60.215064103240955</v>
      </c>
      <c r="F31" s="29">
        <v>0.26025641296382518</v>
      </c>
      <c r="G31" s="29">
        <v>0.26025641296382518</v>
      </c>
    </row>
    <row r="32" spans="1:10" ht="19.95" customHeight="1" x14ac:dyDescent="0.3">
      <c r="A32" s="21" t="s">
        <v>316</v>
      </c>
      <c r="C32" s="26" t="s">
        <v>281</v>
      </c>
      <c r="D32" s="27">
        <v>9353.6213000000007</v>
      </c>
      <c r="E32" s="29">
        <v>60.668603845138563</v>
      </c>
      <c r="F32" s="29">
        <v>0.26025641296382518</v>
      </c>
      <c r="G32" s="29">
        <v>3.2799984357129457</v>
      </c>
    </row>
    <row r="33" spans="1:10" ht="19.95" customHeight="1" x14ac:dyDescent="0.3">
      <c r="A33" s="21" t="s">
        <v>317</v>
      </c>
      <c r="B33" s="26" t="s">
        <v>1</v>
      </c>
      <c r="C33" s="26" t="s">
        <v>282</v>
      </c>
      <c r="D33" s="27">
        <v>9391.1213000000007</v>
      </c>
      <c r="E33" s="29">
        <v>60.766199999999998</v>
      </c>
      <c r="F33" s="29"/>
      <c r="G33" s="29"/>
      <c r="H33" s="29">
        <v>75</v>
      </c>
      <c r="I33" s="29">
        <v>0</v>
      </c>
      <c r="J33" s="29">
        <v>0</v>
      </c>
    </row>
    <row r="34" spans="1:10" ht="19.95" customHeight="1" x14ac:dyDescent="0.3">
      <c r="A34" s="21" t="s">
        <v>318</v>
      </c>
      <c r="C34" s="26" t="s">
        <v>283</v>
      </c>
      <c r="D34" s="27">
        <v>9428.6213000000007</v>
      </c>
      <c r="E34" s="29">
        <v>61.996199413392354</v>
      </c>
      <c r="F34" s="29">
        <v>3.2799984357129457</v>
      </c>
      <c r="G34" s="29">
        <v>3.2799984357129457</v>
      </c>
    </row>
    <row r="35" spans="1:10" ht="19.95" customHeight="1" x14ac:dyDescent="0.3">
      <c r="A35" s="21" t="s">
        <v>321</v>
      </c>
      <c r="C35" s="26" t="s">
        <v>281</v>
      </c>
      <c r="D35" s="27">
        <v>9944.5910999999996</v>
      </c>
      <c r="E35" s="29">
        <v>78.920000782143532</v>
      </c>
      <c r="F35" s="29">
        <v>3.2799984357129457</v>
      </c>
      <c r="G35" s="29">
        <v>0</v>
      </c>
    </row>
    <row r="36" spans="1:10" ht="19.95" customHeight="1" x14ac:dyDescent="0.3">
      <c r="A36" s="21" t="s">
        <v>322</v>
      </c>
      <c r="B36" s="26" t="s">
        <v>2</v>
      </c>
      <c r="C36" s="26" t="s">
        <v>282</v>
      </c>
      <c r="D36" s="27">
        <v>9994.5910999999996</v>
      </c>
      <c r="E36" s="29">
        <v>80.56</v>
      </c>
      <c r="F36" s="29"/>
      <c r="G36" s="29"/>
      <c r="H36" s="29">
        <v>100</v>
      </c>
      <c r="I36" s="29">
        <v>0</v>
      </c>
      <c r="J36" s="29">
        <v>0</v>
      </c>
    </row>
    <row r="37" spans="1:10" ht="19.95" customHeight="1" x14ac:dyDescent="0.3">
      <c r="A37" s="21" t="s">
        <v>323</v>
      </c>
      <c r="C37" s="26" t="s">
        <v>283</v>
      </c>
      <c r="D37" s="27">
        <v>10044.5911</v>
      </c>
      <c r="E37" s="29">
        <v>80.56</v>
      </c>
      <c r="F37" s="29">
        <v>0</v>
      </c>
      <c r="G37" s="29">
        <v>0</v>
      </c>
    </row>
    <row r="38" spans="1:10" ht="19.95" customHeight="1" x14ac:dyDescent="0.3">
      <c r="A38" s="21" t="s">
        <v>326</v>
      </c>
      <c r="B38" s="26" t="s">
        <v>35</v>
      </c>
      <c r="C38" s="26" t="s">
        <v>33</v>
      </c>
      <c r="D38" s="27">
        <v>10324.339400000001</v>
      </c>
      <c r="E38" s="29">
        <v>80.56</v>
      </c>
      <c r="F38" s="29">
        <v>0</v>
      </c>
      <c r="G38" s="29">
        <v>0</v>
      </c>
    </row>
  </sheetData>
  <mergeCells count="4">
    <mergeCell ref="C2:E2"/>
    <mergeCell ref="B3:K3"/>
    <mergeCell ref="C4:E4"/>
    <mergeCell ref="F4:J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8248-72C8-4371-B719-D6235EC2072B}">
  <sheetPr codeName="Sheet9"/>
  <dimension ref="A2:N26"/>
  <sheetViews>
    <sheetView zoomScale="55" zoomScaleNormal="55" workbookViewId="0">
      <selection activeCell="K18" sqref="K18"/>
    </sheetView>
  </sheetViews>
  <sheetFormatPr defaultRowHeight="30" customHeight="1" x14ac:dyDescent="0.3"/>
  <cols>
    <col min="1" max="1" width="8.88671875" style="24"/>
    <col min="2" max="2" width="25.77734375" style="24" customWidth="1"/>
    <col min="3" max="4" width="15.77734375" style="24" customWidth="1"/>
    <col min="5" max="13" width="20.77734375" style="24" customWidth="1"/>
    <col min="14" max="14" width="30.77734375" style="24" customWidth="1"/>
    <col min="15" max="16384" width="8.88671875" style="24"/>
  </cols>
  <sheetData>
    <row r="2" spans="1:14" ht="30" customHeight="1" x14ac:dyDescent="0.3">
      <c r="B2" s="23" t="s">
        <v>41</v>
      </c>
      <c r="C2" s="37" t="s">
        <v>36</v>
      </c>
      <c r="D2" s="37"/>
      <c r="E2" s="37"/>
    </row>
    <row r="3" spans="1:14" ht="40.049999999999997" customHeight="1" x14ac:dyDescent="0.3">
      <c r="B3" s="38" t="s">
        <v>275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</row>
    <row r="4" spans="1:14" ht="30" customHeight="1" x14ac:dyDescent="0.3">
      <c r="B4" s="23" t="s">
        <v>267</v>
      </c>
      <c r="C4" s="23" t="s">
        <v>37</v>
      </c>
      <c r="D4" s="23" t="s">
        <v>63</v>
      </c>
      <c r="E4" s="23" t="s">
        <v>64</v>
      </c>
      <c r="F4" s="23" t="s">
        <v>65</v>
      </c>
      <c r="G4" s="23" t="s">
        <v>26</v>
      </c>
      <c r="H4" s="23" t="s">
        <v>276</v>
      </c>
      <c r="I4" s="23" t="s">
        <v>277</v>
      </c>
      <c r="J4" s="23" t="s">
        <v>24</v>
      </c>
      <c r="K4" s="23" t="s">
        <v>39</v>
      </c>
      <c r="L4" s="23" t="s">
        <v>40</v>
      </c>
      <c r="M4" s="23" t="s">
        <v>69</v>
      </c>
      <c r="N4" s="23" t="s">
        <v>70</v>
      </c>
    </row>
    <row r="5" spans="1:14" ht="30" customHeight="1" x14ac:dyDescent="0.3">
      <c r="A5" s="24" t="s">
        <v>78</v>
      </c>
      <c r="B5" s="30" t="s">
        <v>35</v>
      </c>
      <c r="C5" s="30" t="s">
        <v>27</v>
      </c>
      <c r="D5" s="31">
        <f t="shared" ref="D5:D26" si="0">D6 + 1</f>
        <v>22</v>
      </c>
      <c r="E5" s="32">
        <v>7202.8339999999998</v>
      </c>
      <c r="F5" s="32">
        <f t="shared" ref="F5:F25" si="1">E6</f>
        <v>7235.4389000000001</v>
      </c>
      <c r="G5" s="33">
        <v>67.2</v>
      </c>
      <c r="H5" s="33">
        <v>0</v>
      </c>
      <c r="I5" s="33">
        <v>0</v>
      </c>
      <c r="J5" s="33"/>
      <c r="K5" s="33"/>
      <c r="L5" s="33"/>
      <c r="M5" s="30" t="s">
        <v>77</v>
      </c>
      <c r="N5" s="25" t="s">
        <v>278</v>
      </c>
    </row>
    <row r="6" spans="1:14" ht="30" customHeight="1" x14ac:dyDescent="0.3">
      <c r="A6" s="24" t="s">
        <v>79</v>
      </c>
      <c r="B6" s="30" t="s">
        <v>9</v>
      </c>
      <c r="C6" s="30" t="s">
        <v>281</v>
      </c>
      <c r="D6" s="31">
        <f t="shared" si="0"/>
        <v>21</v>
      </c>
      <c r="E6" s="32">
        <v>7235.4389000000001</v>
      </c>
      <c r="F6" s="32">
        <f t="shared" si="1"/>
        <v>7325.4389000000001</v>
      </c>
      <c r="G6" s="33">
        <v>67.2</v>
      </c>
      <c r="H6" s="33">
        <v>0</v>
      </c>
      <c r="I6" s="33">
        <v>3.1602443836330272</v>
      </c>
      <c r="J6" s="33">
        <v>90</v>
      </c>
      <c r="K6" s="33">
        <v>0</v>
      </c>
      <c r="L6" s="33">
        <v>0</v>
      </c>
      <c r="M6" s="30" t="s">
        <v>284</v>
      </c>
      <c r="N6" s="25" t="s">
        <v>279</v>
      </c>
    </row>
    <row r="7" spans="1:14" ht="30" customHeight="1" x14ac:dyDescent="0.3">
      <c r="A7" s="24" t="s">
        <v>81</v>
      </c>
      <c r="B7" s="30"/>
      <c r="C7" s="30" t="s">
        <v>283</v>
      </c>
      <c r="D7" s="31">
        <f t="shared" si="0"/>
        <v>20</v>
      </c>
      <c r="E7" s="32">
        <v>7325.4389000000001</v>
      </c>
      <c r="F7" s="32">
        <f t="shared" si="1"/>
        <v>7555.5415000000003</v>
      </c>
      <c r="G7" s="33">
        <v>68.62210997263486</v>
      </c>
      <c r="H7" s="33">
        <v>3.1602443836330272</v>
      </c>
      <c r="I7" s="33">
        <v>3.1602443836330272</v>
      </c>
      <c r="J7" s="33"/>
      <c r="K7" s="33"/>
      <c r="L7" s="33"/>
      <c r="M7" s="30" t="s">
        <v>77</v>
      </c>
      <c r="N7" s="25" t="s">
        <v>280</v>
      </c>
    </row>
    <row r="8" spans="1:14" ht="30" customHeight="1" x14ac:dyDescent="0.3">
      <c r="A8" s="24" t="s">
        <v>286</v>
      </c>
      <c r="B8" s="30" t="s">
        <v>10</v>
      </c>
      <c r="C8" s="30" t="s">
        <v>281</v>
      </c>
      <c r="D8" s="31">
        <f t="shared" si="0"/>
        <v>19</v>
      </c>
      <c r="E8" s="32">
        <v>7555.5415000000003</v>
      </c>
      <c r="F8" s="32">
        <f t="shared" si="1"/>
        <v>7625.5415000000003</v>
      </c>
      <c r="G8" s="33">
        <v>75.893914465728443</v>
      </c>
      <c r="H8" s="33">
        <v>3.1602443836330272</v>
      </c>
      <c r="I8" s="33">
        <v>0</v>
      </c>
      <c r="J8" s="33">
        <v>70</v>
      </c>
      <c r="K8" s="33">
        <v>0</v>
      </c>
      <c r="L8" s="33">
        <v>0</v>
      </c>
      <c r="M8" s="30" t="s">
        <v>284</v>
      </c>
    </row>
    <row r="9" spans="1:14" ht="30" customHeight="1" x14ac:dyDescent="0.3">
      <c r="A9" s="24" t="s">
        <v>285</v>
      </c>
      <c r="B9" s="30"/>
      <c r="C9" s="30" t="s">
        <v>283</v>
      </c>
      <c r="D9" s="31">
        <f t="shared" si="0"/>
        <v>18</v>
      </c>
      <c r="E9" s="32">
        <v>7625.5415000000003</v>
      </c>
      <c r="F9" s="32">
        <f t="shared" si="1"/>
        <v>7681.6205</v>
      </c>
      <c r="G9" s="33">
        <v>77</v>
      </c>
      <c r="H9" s="33">
        <v>0</v>
      </c>
      <c r="I9" s="33">
        <v>0</v>
      </c>
      <c r="J9" s="33"/>
      <c r="K9" s="33"/>
      <c r="L9" s="33"/>
      <c r="M9" s="30" t="s">
        <v>77</v>
      </c>
    </row>
    <row r="10" spans="1:14" ht="30" customHeight="1" x14ac:dyDescent="0.3">
      <c r="A10" s="24" t="s">
        <v>289</v>
      </c>
      <c r="B10" s="30" t="s">
        <v>11</v>
      </c>
      <c r="C10" s="30" t="s">
        <v>281</v>
      </c>
      <c r="D10" s="31">
        <f t="shared" si="0"/>
        <v>17</v>
      </c>
      <c r="E10" s="32">
        <v>7681.6205</v>
      </c>
      <c r="F10" s="32">
        <f t="shared" si="1"/>
        <v>7731.6205</v>
      </c>
      <c r="G10" s="33">
        <v>77</v>
      </c>
      <c r="H10" s="33">
        <v>0</v>
      </c>
      <c r="I10" s="33">
        <v>0.77500004843750181</v>
      </c>
      <c r="J10" s="33">
        <v>50</v>
      </c>
      <c r="K10" s="33">
        <v>0</v>
      </c>
      <c r="L10" s="33">
        <v>0</v>
      </c>
      <c r="M10" s="30" t="s">
        <v>284</v>
      </c>
    </row>
    <row r="11" spans="1:14" ht="30" customHeight="1" x14ac:dyDescent="0.3">
      <c r="A11" s="24" t="s">
        <v>290</v>
      </c>
      <c r="B11" s="30"/>
      <c r="C11" s="30" t="s">
        <v>283</v>
      </c>
      <c r="D11" s="31">
        <f t="shared" si="0"/>
        <v>16</v>
      </c>
      <c r="E11" s="32">
        <v>7731.6205</v>
      </c>
      <c r="F11" s="32">
        <f t="shared" si="1"/>
        <v>7929.6850000000004</v>
      </c>
      <c r="G11" s="33">
        <v>77.193750012109376</v>
      </c>
      <c r="H11" s="33">
        <v>0.77500004843750181</v>
      </c>
      <c r="I11" s="33">
        <v>0.77500004843750181</v>
      </c>
      <c r="J11" s="33"/>
      <c r="K11" s="33"/>
      <c r="L11" s="33"/>
      <c r="M11" s="30" t="s">
        <v>77</v>
      </c>
    </row>
    <row r="12" spans="1:14" ht="30" customHeight="1" x14ac:dyDescent="0.3">
      <c r="A12" s="24" t="s">
        <v>294</v>
      </c>
      <c r="B12" s="30" t="s">
        <v>12</v>
      </c>
      <c r="C12" s="30" t="s">
        <v>281</v>
      </c>
      <c r="D12" s="31">
        <f t="shared" si="0"/>
        <v>15</v>
      </c>
      <c r="E12" s="32">
        <v>7929.6850000000004</v>
      </c>
      <c r="F12" s="32">
        <f t="shared" si="1"/>
        <v>7999.6850000000004</v>
      </c>
      <c r="G12" s="33">
        <v>78.728749983046868</v>
      </c>
      <c r="H12" s="33">
        <v>0.77500004843750181</v>
      </c>
      <c r="I12" s="33">
        <v>0</v>
      </c>
      <c r="J12" s="33">
        <v>70</v>
      </c>
      <c r="K12" s="33">
        <v>0</v>
      </c>
      <c r="L12" s="33">
        <v>0</v>
      </c>
      <c r="M12" s="30" t="s">
        <v>284</v>
      </c>
    </row>
    <row r="13" spans="1:14" ht="30" customHeight="1" x14ac:dyDescent="0.3">
      <c r="A13" s="24" t="s">
        <v>295</v>
      </c>
      <c r="B13" s="30"/>
      <c r="C13" s="30" t="s">
        <v>283</v>
      </c>
      <c r="D13" s="31">
        <f t="shared" si="0"/>
        <v>14</v>
      </c>
      <c r="E13" s="32">
        <v>7999.6850000000004</v>
      </c>
      <c r="F13" s="32">
        <f t="shared" si="1"/>
        <v>8370.0452999999998</v>
      </c>
      <c r="G13" s="33">
        <v>79</v>
      </c>
      <c r="H13" s="33">
        <v>0</v>
      </c>
      <c r="I13" s="33">
        <v>0</v>
      </c>
      <c r="J13" s="33"/>
      <c r="K13" s="33"/>
      <c r="L13" s="33"/>
      <c r="M13" s="30" t="s">
        <v>77</v>
      </c>
    </row>
    <row r="14" spans="1:14" ht="30" customHeight="1" x14ac:dyDescent="0.3">
      <c r="A14" s="24" t="s">
        <v>299</v>
      </c>
      <c r="B14" s="30" t="s">
        <v>13</v>
      </c>
      <c r="C14" s="30" t="s">
        <v>281</v>
      </c>
      <c r="D14" s="31">
        <f t="shared" si="0"/>
        <v>13</v>
      </c>
      <c r="E14" s="32">
        <v>8370.0452999999998</v>
      </c>
      <c r="F14" s="32">
        <f t="shared" si="1"/>
        <v>8470.0452999999998</v>
      </c>
      <c r="G14" s="33">
        <v>79</v>
      </c>
      <c r="H14" s="33">
        <v>0</v>
      </c>
      <c r="I14" s="33">
        <v>-3.4999904130665866</v>
      </c>
      <c r="J14" s="33">
        <v>100</v>
      </c>
      <c r="K14" s="33">
        <v>0</v>
      </c>
      <c r="L14" s="33">
        <v>0</v>
      </c>
      <c r="M14" s="30" t="s">
        <v>284</v>
      </c>
    </row>
    <row r="15" spans="1:14" ht="30" customHeight="1" x14ac:dyDescent="0.3">
      <c r="A15" s="24" t="s">
        <v>300</v>
      </c>
      <c r="B15" s="30"/>
      <c r="C15" s="30" t="s">
        <v>283</v>
      </c>
      <c r="D15" s="31">
        <f t="shared" si="0"/>
        <v>12</v>
      </c>
      <c r="E15" s="32">
        <v>8470.0452999999998</v>
      </c>
      <c r="F15" s="32">
        <f t="shared" si="1"/>
        <v>8681.4632000000001</v>
      </c>
      <c r="G15" s="33">
        <v>77.250004793466701</v>
      </c>
      <c r="H15" s="33">
        <v>-3.4999904130665866</v>
      </c>
      <c r="I15" s="33">
        <v>-3.4999904130665866</v>
      </c>
      <c r="J15" s="33"/>
      <c r="K15" s="33"/>
      <c r="L15" s="33"/>
      <c r="M15" s="30" t="s">
        <v>77</v>
      </c>
    </row>
    <row r="16" spans="1:14" ht="30" customHeight="1" x14ac:dyDescent="0.3">
      <c r="A16" s="24" t="s">
        <v>304</v>
      </c>
      <c r="B16" s="30" t="s">
        <v>14</v>
      </c>
      <c r="C16" s="30" t="s">
        <v>281</v>
      </c>
      <c r="D16" s="31">
        <f t="shared" si="0"/>
        <v>11</v>
      </c>
      <c r="E16" s="32">
        <v>8681.4632000000001</v>
      </c>
      <c r="F16" s="32">
        <f t="shared" si="1"/>
        <v>8711.4632000000001</v>
      </c>
      <c r="G16" s="33">
        <v>69.850398561959992</v>
      </c>
      <c r="H16" s="33">
        <v>-3.4999904130665866</v>
      </c>
      <c r="I16" s="33">
        <v>-2.9700089112567607</v>
      </c>
      <c r="J16" s="33">
        <v>30</v>
      </c>
      <c r="K16" s="33">
        <v>0</v>
      </c>
      <c r="L16" s="33">
        <v>0</v>
      </c>
      <c r="M16" s="30" t="s">
        <v>284</v>
      </c>
    </row>
    <row r="17" spans="1:13" ht="30" customHeight="1" x14ac:dyDescent="0.3">
      <c r="A17" s="24" t="s">
        <v>305</v>
      </c>
      <c r="B17" s="30"/>
      <c r="C17" s="30" t="s">
        <v>283</v>
      </c>
      <c r="D17" s="31">
        <f t="shared" si="0"/>
        <v>10</v>
      </c>
      <c r="E17" s="32">
        <v>8711.4632000000001</v>
      </c>
      <c r="F17" s="32">
        <f t="shared" si="1"/>
        <v>8940.3983000000007</v>
      </c>
      <c r="G17" s="33">
        <v>68.879898663311494</v>
      </c>
      <c r="H17" s="33">
        <v>-2.9700089112567607</v>
      </c>
      <c r="I17" s="33">
        <v>-2.9700089112567607</v>
      </c>
      <c r="J17" s="33"/>
      <c r="K17" s="33"/>
      <c r="L17" s="33"/>
      <c r="M17" s="30" t="s">
        <v>77</v>
      </c>
    </row>
    <row r="18" spans="1:13" ht="30" customHeight="1" x14ac:dyDescent="0.3">
      <c r="A18" s="24" t="s">
        <v>309</v>
      </c>
      <c r="B18" s="30" t="s">
        <v>15</v>
      </c>
      <c r="C18" s="30" t="s">
        <v>281</v>
      </c>
      <c r="D18" s="31">
        <f t="shared" si="0"/>
        <v>9</v>
      </c>
      <c r="E18" s="32">
        <v>8940.3983000000007</v>
      </c>
      <c r="F18" s="32">
        <f t="shared" si="1"/>
        <v>9070.3983000000007</v>
      </c>
      <c r="G18" s="33">
        <v>62.080505792316892</v>
      </c>
      <c r="H18" s="33">
        <v>-2.9700089112567607</v>
      </c>
      <c r="I18" s="33">
        <v>0</v>
      </c>
      <c r="J18" s="33">
        <v>130</v>
      </c>
      <c r="K18" s="33">
        <v>0</v>
      </c>
      <c r="L18" s="33">
        <v>0</v>
      </c>
      <c r="M18" s="30" t="s">
        <v>284</v>
      </c>
    </row>
    <row r="19" spans="1:13" ht="30" customHeight="1" x14ac:dyDescent="0.3">
      <c r="A19" s="24" t="s">
        <v>310</v>
      </c>
      <c r="B19" s="30"/>
      <c r="C19" s="30" t="s">
        <v>283</v>
      </c>
      <c r="D19" s="31">
        <f t="shared" si="0"/>
        <v>8</v>
      </c>
      <c r="E19" s="32">
        <v>9070.3983000000007</v>
      </c>
      <c r="F19" s="32">
        <f t="shared" si="1"/>
        <v>9129.3547999999992</v>
      </c>
      <c r="G19" s="33">
        <v>60.15</v>
      </c>
      <c r="H19" s="33">
        <v>0</v>
      </c>
      <c r="I19" s="33">
        <v>0</v>
      </c>
      <c r="J19" s="33"/>
      <c r="K19" s="33"/>
      <c r="L19" s="33"/>
      <c r="M19" s="30" t="s">
        <v>77</v>
      </c>
    </row>
    <row r="20" spans="1:13" ht="30" customHeight="1" x14ac:dyDescent="0.3">
      <c r="A20" s="24" t="s">
        <v>314</v>
      </c>
      <c r="B20" s="30" t="s">
        <v>16</v>
      </c>
      <c r="C20" s="30" t="s">
        <v>281</v>
      </c>
      <c r="D20" s="31">
        <f t="shared" si="0"/>
        <v>7</v>
      </c>
      <c r="E20" s="32">
        <v>9129.3547999999992</v>
      </c>
      <c r="F20" s="32">
        <f t="shared" si="1"/>
        <v>9179.3547999999992</v>
      </c>
      <c r="G20" s="33">
        <v>60.15</v>
      </c>
      <c r="H20" s="33">
        <v>0</v>
      </c>
      <c r="I20" s="33">
        <v>0.26025641296382518</v>
      </c>
      <c r="J20" s="33">
        <v>50</v>
      </c>
      <c r="K20" s="33">
        <v>0</v>
      </c>
      <c r="L20" s="33">
        <v>0</v>
      </c>
      <c r="M20" s="30" t="s">
        <v>284</v>
      </c>
    </row>
    <row r="21" spans="1:13" ht="30" customHeight="1" x14ac:dyDescent="0.3">
      <c r="A21" s="24" t="s">
        <v>315</v>
      </c>
      <c r="B21" s="30"/>
      <c r="C21" s="30" t="s">
        <v>283</v>
      </c>
      <c r="D21" s="31">
        <f t="shared" si="0"/>
        <v>6</v>
      </c>
      <c r="E21" s="32">
        <v>9179.3547999999992</v>
      </c>
      <c r="F21" s="32">
        <f t="shared" si="1"/>
        <v>9353.6213000000007</v>
      </c>
      <c r="G21" s="33">
        <v>60.215064103240955</v>
      </c>
      <c r="H21" s="33">
        <v>0.26025641296382518</v>
      </c>
      <c r="I21" s="33">
        <v>0.26025641296382518</v>
      </c>
      <c r="J21" s="33"/>
      <c r="K21" s="33"/>
      <c r="L21" s="33"/>
      <c r="M21" s="30" t="s">
        <v>77</v>
      </c>
    </row>
    <row r="22" spans="1:13" ht="30" customHeight="1" x14ac:dyDescent="0.3">
      <c r="A22" s="24" t="s">
        <v>319</v>
      </c>
      <c r="B22" s="30" t="s">
        <v>1</v>
      </c>
      <c r="C22" s="30" t="s">
        <v>281</v>
      </c>
      <c r="D22" s="31">
        <f t="shared" si="0"/>
        <v>5</v>
      </c>
      <c r="E22" s="32">
        <v>9353.6213000000007</v>
      </c>
      <c r="F22" s="32">
        <f t="shared" si="1"/>
        <v>9428.6213000000007</v>
      </c>
      <c r="G22" s="33">
        <v>60.668603845138563</v>
      </c>
      <c r="H22" s="33">
        <v>0.26025641296382518</v>
      </c>
      <c r="I22" s="33">
        <v>3.2799984357129457</v>
      </c>
      <c r="J22" s="33">
        <v>75</v>
      </c>
      <c r="K22" s="33">
        <v>0</v>
      </c>
      <c r="L22" s="33">
        <v>0</v>
      </c>
      <c r="M22" s="30" t="s">
        <v>284</v>
      </c>
    </row>
    <row r="23" spans="1:13" ht="30" customHeight="1" x14ac:dyDescent="0.3">
      <c r="A23" s="24" t="s">
        <v>320</v>
      </c>
      <c r="B23" s="30"/>
      <c r="C23" s="30" t="s">
        <v>283</v>
      </c>
      <c r="D23" s="31">
        <f t="shared" si="0"/>
        <v>4</v>
      </c>
      <c r="E23" s="32">
        <v>9428.6213000000007</v>
      </c>
      <c r="F23" s="32">
        <f t="shared" si="1"/>
        <v>9944.5910999999996</v>
      </c>
      <c r="G23" s="33">
        <v>61.996199413392354</v>
      </c>
      <c r="H23" s="33">
        <v>3.2799984357129457</v>
      </c>
      <c r="I23" s="33">
        <v>3.2799984357129457</v>
      </c>
      <c r="J23" s="33"/>
      <c r="K23" s="33"/>
      <c r="L23" s="33"/>
      <c r="M23" s="30" t="s">
        <v>77</v>
      </c>
    </row>
    <row r="24" spans="1:13" ht="30" customHeight="1" x14ac:dyDescent="0.3">
      <c r="A24" s="24" t="s">
        <v>324</v>
      </c>
      <c r="B24" s="30" t="s">
        <v>2</v>
      </c>
      <c r="C24" s="30" t="s">
        <v>281</v>
      </c>
      <c r="D24" s="31">
        <f t="shared" si="0"/>
        <v>3</v>
      </c>
      <c r="E24" s="32">
        <v>9944.5910999999996</v>
      </c>
      <c r="F24" s="32">
        <f t="shared" si="1"/>
        <v>10044.5911</v>
      </c>
      <c r="G24" s="33">
        <v>78.920000782143532</v>
      </c>
      <c r="H24" s="33">
        <v>3.2799984357129457</v>
      </c>
      <c r="I24" s="33">
        <v>0</v>
      </c>
      <c r="J24" s="33">
        <v>100</v>
      </c>
      <c r="K24" s="33">
        <v>0</v>
      </c>
      <c r="L24" s="33">
        <v>0</v>
      </c>
      <c r="M24" s="30" t="s">
        <v>284</v>
      </c>
    </row>
    <row r="25" spans="1:13" ht="30" customHeight="1" x14ac:dyDescent="0.3">
      <c r="A25" s="24" t="s">
        <v>325</v>
      </c>
      <c r="B25" s="30"/>
      <c r="C25" s="30" t="s">
        <v>283</v>
      </c>
      <c r="D25" s="31">
        <f t="shared" si="0"/>
        <v>2</v>
      </c>
      <c r="E25" s="32">
        <v>10044.5911</v>
      </c>
      <c r="F25" s="32">
        <f t="shared" si="1"/>
        <v>10324.339400000001</v>
      </c>
      <c r="G25" s="33">
        <v>80.56</v>
      </c>
      <c r="H25" s="33">
        <v>0</v>
      </c>
      <c r="I25" s="33">
        <v>0</v>
      </c>
      <c r="J25" s="33"/>
      <c r="K25" s="33"/>
      <c r="L25" s="33"/>
      <c r="M25" s="30" t="s">
        <v>77</v>
      </c>
    </row>
    <row r="26" spans="1:13" ht="30" customHeight="1" x14ac:dyDescent="0.3">
      <c r="A26" s="24" t="s">
        <v>327</v>
      </c>
      <c r="B26" s="30" t="s">
        <v>35</v>
      </c>
      <c r="C26" s="30" t="s">
        <v>33</v>
      </c>
      <c r="D26" s="31">
        <f t="shared" si="0"/>
        <v>1</v>
      </c>
      <c r="E26" s="32">
        <v>10324.339400000001</v>
      </c>
      <c r="F26" s="32">
        <f>E26+0.002</f>
        <v>10324.341400000001</v>
      </c>
      <c r="G26" s="33">
        <v>80.56</v>
      </c>
      <c r="H26" s="33">
        <v>0</v>
      </c>
      <c r="I26" s="33">
        <v>0</v>
      </c>
      <c r="J26" s="33"/>
      <c r="K26" s="33"/>
      <c r="L26" s="33"/>
      <c r="M26" s="30" t="s">
        <v>77</v>
      </c>
    </row>
  </sheetData>
  <mergeCells count="2">
    <mergeCell ref="C2:E2"/>
    <mergeCell ref="B3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HIP DATA</vt:lpstr>
      <vt:lpstr>VIP DATA</vt:lpstr>
      <vt:lpstr>HOR-SETTING OUT</vt:lpstr>
      <vt:lpstr>HOR-ARRAY</vt:lpstr>
      <vt:lpstr>VER-SETTING OUT</vt:lpstr>
      <vt:lpstr>VER-ARRAY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SUBEN</dc:creator>
  <cp:lastModifiedBy>Suben Mukem</cp:lastModifiedBy>
  <dcterms:created xsi:type="dcterms:W3CDTF">2023-03-27T03:31:47Z</dcterms:created>
  <dcterms:modified xsi:type="dcterms:W3CDTF">2024-04-30T07:46:08Z</dcterms:modified>
</cp:coreProperties>
</file>